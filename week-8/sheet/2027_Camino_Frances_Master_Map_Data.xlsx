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nchvue\Documents\AI-coding\chat-gpt\earth-quack\week-8\sheet\"/>
    </mc:Choice>
  </mc:AlternateContent>
  <xr:revisionPtr revIDLastSave="0" documentId="13_ncr:1_{EE8F237A-1ECD-4332-A3B4-4A3EBA30FAA5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Master Route" sheetId="1" r:id="rId1"/>
    <sheet name="Chart Coordinates" sheetId="2" r:id="rId2"/>
    <sheet name="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  <c r="I17" i="2"/>
  <c r="D17" i="2"/>
  <c r="C17" i="2"/>
  <c r="B17" i="2"/>
  <c r="A17" i="2"/>
  <c r="J17" i="2" s="1"/>
  <c r="I16" i="2"/>
  <c r="D16" i="2"/>
  <c r="C16" i="2"/>
  <c r="B16" i="2"/>
  <c r="A16" i="2"/>
  <c r="J16" i="2" s="1"/>
  <c r="I15" i="2"/>
  <c r="D15" i="2"/>
  <c r="C15" i="2"/>
  <c r="B15" i="2"/>
  <c r="A15" i="2"/>
  <c r="J15" i="2" s="1"/>
  <c r="I14" i="2"/>
  <c r="D14" i="2"/>
  <c r="C14" i="2"/>
  <c r="B14" i="2"/>
  <c r="A14" i="2"/>
  <c r="J14" i="2" s="1"/>
  <c r="I13" i="2"/>
  <c r="D13" i="2"/>
  <c r="C13" i="2"/>
  <c r="B13" i="2"/>
  <c r="A13" i="2"/>
  <c r="J13" i="2" s="1"/>
  <c r="I12" i="2"/>
  <c r="D12" i="2"/>
  <c r="C12" i="2"/>
  <c r="B12" i="2"/>
  <c r="A12" i="2"/>
  <c r="J12" i="2" s="1"/>
  <c r="I11" i="2"/>
  <c r="D11" i="2"/>
  <c r="C11" i="2"/>
  <c r="B11" i="2"/>
  <c r="A11" i="2"/>
  <c r="J11" i="2" s="1"/>
  <c r="I10" i="2"/>
  <c r="D10" i="2"/>
  <c r="C10" i="2"/>
  <c r="B10" i="2"/>
  <c r="A10" i="2"/>
  <c r="J10" i="2" s="1"/>
  <c r="I9" i="2"/>
  <c r="D9" i="2"/>
  <c r="C9" i="2"/>
  <c r="B9" i="2"/>
  <c r="A9" i="2"/>
  <c r="J9" i="2" s="1"/>
  <c r="I8" i="2"/>
  <c r="D8" i="2"/>
  <c r="C8" i="2"/>
  <c r="B8" i="2"/>
  <c r="A8" i="2"/>
  <c r="J8" i="2" s="1"/>
  <c r="I7" i="2"/>
  <c r="D7" i="2"/>
  <c r="C7" i="2"/>
  <c r="B7" i="2"/>
  <c r="A7" i="2"/>
  <c r="J7" i="2" s="1"/>
  <c r="I6" i="2"/>
  <c r="D6" i="2"/>
  <c r="C6" i="2"/>
  <c r="B6" i="2"/>
  <c r="A6" i="2"/>
  <c r="J6" i="2" s="1"/>
  <c r="M4" i="1"/>
  <c r="N4" i="1" s="1"/>
  <c r="K4" i="1"/>
  <c r="K5" i="1" s="1"/>
  <c r="H6" i="2" l="1"/>
  <c r="F6" i="2"/>
  <c r="F7" i="2"/>
  <c r="E8" i="2"/>
  <c r="K6" i="1"/>
  <c r="L6" i="1" s="1"/>
  <c r="G8" i="2" s="1"/>
  <c r="M6" i="1"/>
  <c r="L4" i="1"/>
  <c r="G6" i="2" s="1"/>
  <c r="T5" i="1"/>
  <c r="F18" i="2"/>
  <c r="E7" i="2"/>
  <c r="E18" i="2"/>
  <c r="L5" i="1"/>
  <c r="G7" i="2" s="1"/>
  <c r="M5" i="1"/>
  <c r="E9" i="2" l="1"/>
  <c r="F8" i="2"/>
  <c r="K7" i="1"/>
  <c r="M7" i="1"/>
  <c r="H7" i="2"/>
  <c r="N5" i="1"/>
  <c r="N6" i="1"/>
  <c r="H8" i="2"/>
  <c r="N7" i="1" l="1"/>
  <c r="H9" i="2"/>
  <c r="M8" i="1"/>
  <c r="K8" i="1"/>
  <c r="F9" i="2"/>
  <c r="E10" i="2"/>
  <c r="L7" i="1"/>
  <c r="G9" i="2" s="1"/>
  <c r="K9" i="1" l="1"/>
  <c r="M9" i="1"/>
  <c r="F10" i="2"/>
  <c r="E11" i="2"/>
  <c r="L8" i="1"/>
  <c r="G10" i="2" s="1"/>
  <c r="N8" i="1"/>
  <c r="H10" i="2"/>
  <c r="N9" i="1" l="1"/>
  <c r="H11" i="2"/>
  <c r="E12" i="2"/>
  <c r="K10" i="1"/>
  <c r="M10" i="1"/>
  <c r="F11" i="2"/>
  <c r="L9" i="1"/>
  <c r="G11" i="2" s="1"/>
  <c r="H12" i="2" l="1"/>
  <c r="N10" i="1"/>
  <c r="F12" i="2"/>
  <c r="K11" i="1"/>
  <c r="M11" i="1"/>
  <c r="E13" i="2"/>
  <c r="L10" i="1"/>
  <c r="G12" i="2" s="1"/>
  <c r="H13" i="2" l="1"/>
  <c r="N11" i="1"/>
  <c r="M12" i="1"/>
  <c r="K12" i="1"/>
  <c r="E14" i="2"/>
  <c r="F13" i="2"/>
  <c r="L11" i="1"/>
  <c r="G13" i="2" s="1"/>
  <c r="K13" i="1" l="1"/>
  <c r="M13" i="1"/>
  <c r="E15" i="2"/>
  <c r="F14" i="2"/>
  <c r="L12" i="1"/>
  <c r="G14" i="2" s="1"/>
  <c r="N12" i="1"/>
  <c r="H14" i="2"/>
  <c r="H15" i="2" l="1"/>
  <c r="N13" i="1"/>
  <c r="F15" i="2"/>
  <c r="E16" i="2"/>
  <c r="M14" i="1"/>
  <c r="K14" i="1"/>
  <c r="L13" i="1"/>
  <c r="G15" i="2" s="1"/>
  <c r="E17" i="2" l="1"/>
  <c r="F16" i="2"/>
  <c r="K15" i="1"/>
  <c r="M15" i="1"/>
  <c r="L14" i="1"/>
  <c r="G16" i="2" s="1"/>
  <c r="N14" i="1"/>
  <c r="H16" i="2"/>
  <c r="H17" i="2" l="1"/>
  <c r="N15" i="1"/>
  <c r="M16" i="1"/>
  <c r="N16" i="1" s="1"/>
  <c r="F17" i="2"/>
  <c r="K16" i="1"/>
  <c r="L16" i="1" s="1"/>
  <c r="L15" i="1"/>
  <c r="G17" i="2" s="1"/>
</calcChain>
</file>

<file path=xl/sharedStrings.xml><?xml version="1.0" encoding="utf-8"?>
<sst xmlns="http://schemas.openxmlformats.org/spreadsheetml/2006/main" count="182" uniqueCount="121">
  <si>
    <t>2027 카미노 프란세스 자전거 루트 · 지도/고도 프로파일 마스터 데이터</t>
  </si>
  <si>
    <t>총 거리 (km)</t>
  </si>
  <si>
    <t>일차</t>
  </si>
  <si>
    <t>시작지(한글)</t>
  </si>
  <si>
    <t>시작지(스페인어)</t>
  </si>
  <si>
    <t>중간 구간 1</t>
  </si>
  <si>
    <t>중간 구간 2</t>
  </si>
  <si>
    <t>중간 구간 3</t>
  </si>
  <si>
    <t>도착지(한글)</t>
  </si>
  <si>
    <t>도착지(스페인어)</t>
  </si>
  <si>
    <t>거리 (km)</t>
  </si>
  <si>
    <t>획득고도 (m)</t>
  </si>
  <si>
    <t>누적거리 (km)</t>
  </si>
  <si>
    <t>남은거리 (km)</t>
  </si>
  <si>
    <t>지도 X (%)</t>
  </si>
  <si>
    <t>고도 X (%)</t>
  </si>
  <si>
    <t>원번호 색상</t>
  </si>
  <si>
    <t>휴식일</t>
  </si>
  <si>
    <t>비고</t>
  </si>
  <si>
    <t>총 획득고도 (m)</t>
  </si>
  <si>
    <t>생장</t>
  </si>
  <si>
    <t>Saint-Jean-Pied-de-Port</t>
  </si>
  <si>
    <t>오리손 (Orisson)</t>
  </si>
  <si>
    <t>론세스바예스 (Roncesvalles)</t>
  </si>
  <si>
    <t>수비리</t>
  </si>
  <si>
    <t>Zubiri</t>
  </si>
  <si>
    <t>#0B6E3A</t>
  </si>
  <si>
    <t>아니오</t>
  </si>
  <si>
    <t>피레네 산맥 통과</t>
  </si>
  <si>
    <t>라이딩 일수</t>
  </si>
  <si>
    <t>팜풀로나 (Pamplona)</t>
  </si>
  <si>
    <t>푸엔테 라 레이나 (Puente la Reina)</t>
  </si>
  <si>
    <t>에스떼야</t>
  </si>
  <si>
    <t>Estella</t>
  </si>
  <si>
    <t>#138A50</t>
  </si>
  <si>
    <t>평균 일일 거리</t>
  </si>
  <si>
    <t>로스 아르꼬스 (Los Arcos)</t>
  </si>
  <si>
    <t>로그로뇨 (Logroño)</t>
  </si>
  <si>
    <t>나베레테</t>
  </si>
  <si>
    <t>Navarrete</t>
  </si>
  <si>
    <t>#0F6B9D</t>
  </si>
  <si>
    <t>나헤라 (Nájera)</t>
  </si>
  <si>
    <t>산토 도밍고 데 라 깔사다 (Santo Domingo de la Calzada)</t>
  </si>
  <si>
    <t>벨로라도</t>
  </si>
  <si>
    <t>Belorado</t>
  </si>
  <si>
    <t>#154A8A</t>
  </si>
  <si>
    <t>산 후안 데 오르떼가 (San Juan de Ortega)</t>
  </si>
  <si>
    <t>부르고스 (Burgos)</t>
  </si>
  <si>
    <t>오르니요스 델 까미노 (Hornillos del Camino)</t>
  </si>
  <si>
    <t>키스트로헤리스</t>
  </si>
  <si>
    <t>Castrojeriz</t>
  </si>
  <si>
    <t>#F06A00</t>
  </si>
  <si>
    <t>최장 구간</t>
  </si>
  <si>
    <t>프로미스따 (Frómista)</t>
  </si>
  <si>
    <t>까리온 데 로스 꼰데스 (Carrión de los Condes)</t>
  </si>
  <si>
    <t>깔사디야 데 라 쿠에사 (Calzadilla de la Cueza)</t>
  </si>
  <si>
    <t>사아군</t>
  </si>
  <si>
    <t>Sahagún</t>
  </si>
  <si>
    <t>#F28C00</t>
  </si>
  <si>
    <t>엘 부르고 라네로 (El Burgo Ranero)</t>
  </si>
  <si>
    <t>만시야 데 라스 물라스 (Mansilla de las Mulas)</t>
  </si>
  <si>
    <t>레온</t>
  </si>
  <si>
    <t>León</t>
  </si>
  <si>
    <t>#D7191C</t>
  </si>
  <si>
    <t>#E31A1C</t>
  </si>
  <si>
    <t>예</t>
  </si>
  <si>
    <t>휴식일 — 위치와 고도 변화 없음</t>
  </si>
  <si>
    <t>산 마르틴 델 까미노 (San Martín del Camino)</t>
  </si>
  <si>
    <t>아스토르가 (Astorga)</t>
  </si>
  <si>
    <t>라바날 델 까미노</t>
  </si>
  <si>
    <t>Rabanal del Camino</t>
  </si>
  <si>
    <t>#B2185B</t>
  </si>
  <si>
    <t>몰리나세까 (Molinaseca)</t>
  </si>
  <si>
    <t>폰페라다 (Ponferrada)</t>
  </si>
  <si>
    <t>까까벨로스 (Cacabelos)</t>
  </si>
  <si>
    <t>베가 데 발까르세</t>
  </si>
  <si>
    <t>Vega de Valcarce</t>
  </si>
  <si>
    <t>#6A1B7B</t>
  </si>
  <si>
    <t>Cruz de Ferro 통과</t>
  </si>
  <si>
    <t>오 세브레이로 (O Cebreiro)</t>
  </si>
  <si>
    <t>뜨리아까스떼야 (Triacastela)</t>
  </si>
  <si>
    <t>사리아</t>
  </si>
  <si>
    <t>Sarria</t>
  </si>
  <si>
    <t>#183A7A</t>
  </si>
  <si>
    <t>O Cebreiro 통과</t>
  </si>
  <si>
    <t>뽀르또마린 (Portomarín)</t>
  </si>
  <si>
    <t>빨라스 데 레이 (Palas de Rei)</t>
  </si>
  <si>
    <t>메리데 (Melide)</t>
  </si>
  <si>
    <t>아르수아</t>
  </si>
  <si>
    <t>Arzúa</t>
  </si>
  <si>
    <t>#1F58B5</t>
  </si>
  <si>
    <t>뻬드로우소 (O Pedrouzo)</t>
  </si>
  <si>
    <t>산티아고 대성당</t>
  </si>
  <si>
    <t>Santiago de Compostela</t>
  </si>
  <si>
    <t>완주</t>
  </si>
  <si>
    <t>지도·고도 프로파일 공통 좌표표 (오른쪽 출발 → 왼쪽 도착)</t>
  </si>
  <si>
    <t>원번호</t>
  </si>
  <si>
    <t>당일거리 (km)</t>
  </si>
  <si>
    <t>시작 누적거리 (km)</t>
  </si>
  <si>
    <t>종료 누적거리 (km)</t>
  </si>
  <si>
    <t>X 좌표 (%)</t>
  </si>
  <si>
    <t>색상</t>
  </si>
  <si>
    <t>표시 규칙</t>
  </si>
  <si>
    <t>FINISH</t>
  </si>
  <si>
    <t>#C00000</t>
  </si>
  <si>
    <t>맨 왼쪽 종점</t>
  </si>
  <si>
    <t>사용 규칙</t>
  </si>
  <si>
    <t>항목</t>
  </si>
  <si>
    <t>규칙</t>
  </si>
  <si>
    <t>진행 방향</t>
  </si>
  <si>
    <t>오른쪽 Saint-Jean-Pied-de-Port → 왼쪽 Santiago de Compostela</t>
  </si>
  <si>
    <t>원번호 위치</t>
  </si>
  <si>
    <t>각 일차의 시작지점에 표시</t>
  </si>
  <si>
    <t>7·8번</t>
  </si>
  <si>
    <t>둘 다 León이며 8일차는 휴식일이므로 같은 X좌표와 같은 고도</t>
  </si>
  <si>
    <t>누적거리</t>
  </si>
  <si>
    <t>도표의 종료 누적거리이며 수식으로 자동 계산</t>
  </si>
  <si>
    <t>지도 X / 고도 X</t>
  </si>
  <si>
    <t>동일한 공식을 사용하여 두 그래프의 수직선이 일치</t>
  </si>
  <si>
    <t>산티아고는 맨 왼쪽 X=0%</t>
  </si>
  <si>
    <t>카미노 대성당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</si>
</sst>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color theme="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0B2E63"/>
      </patternFill>
    </fill>
    <fill>
      <patternFill patternType="solid">
        <fgColor rgb="FFD9EAD3"/>
      </patternFill>
    </fill>
    <fill>
      <patternFill patternType="solid">
        <fgColor rgb="FF0B6E3A"/>
      </patternFill>
    </fill>
    <fill>
      <patternFill patternType="solid">
        <fgColor rgb="FF138A50"/>
      </patternFill>
    </fill>
    <fill>
      <patternFill patternType="solid">
        <fgColor rgb="FF0F6B9D"/>
      </patternFill>
    </fill>
    <fill>
      <patternFill patternType="solid">
        <fgColor rgb="FF154A8A"/>
      </patternFill>
    </fill>
    <fill>
      <patternFill patternType="solid">
        <fgColor rgb="FFF06A00"/>
      </patternFill>
    </fill>
    <fill>
      <patternFill patternType="solid">
        <fgColor rgb="FFF28C00"/>
      </patternFill>
    </fill>
    <fill>
      <patternFill patternType="solid">
        <fgColor rgb="FFD7191C"/>
      </patternFill>
    </fill>
    <fill>
      <patternFill patternType="solid">
        <fgColor rgb="FFE31A1C"/>
      </patternFill>
    </fill>
    <fill>
      <patternFill patternType="solid">
        <fgColor rgb="FFB2185B"/>
      </patternFill>
    </fill>
    <fill>
      <patternFill patternType="solid">
        <fgColor rgb="FF6A1B7B"/>
      </patternFill>
    </fill>
    <fill>
      <patternFill patternType="solid">
        <fgColor rgb="FF183A7A"/>
      </patternFill>
    </fill>
    <fill>
      <patternFill patternType="solid">
        <fgColor rgb="FF1F58B5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000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3" fillId="2" borderId="0" xfId="0" applyFont="1" applyFill="1"/>
    <xf numFmtId="164" fontId="2" fillId="16" borderId="0" xfId="0" applyNumberFormat="1" applyFont="1" applyFill="1"/>
    <xf numFmtId="0" fontId="2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164" fontId="7" fillId="20" borderId="3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0" fillId="16" borderId="0" xfId="0" applyNumberFormat="1" applyFont="1" applyFill="1"/>
    <xf numFmtId="0" fontId="7" fillId="20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C00000"/>
      </font>
      <fill>
        <patternFill patternType="solid">
          <bgColor rgb="FFFCE5CD"/>
        </patternFill>
      </fill>
    </dxf>
    <dxf>
      <font>
        <b/>
        <color rgb="FFC00000"/>
      </font>
      <fill>
        <patternFill patternType="solid"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inoMasterTable" displayName="CaminoMasterTable" ref="A3:Q17">
  <tableColumns count="17">
    <tableColumn id="1" xr3:uid="{00000000-0010-0000-0000-000001000000}" name="일차"/>
    <tableColumn id="2" xr3:uid="{00000000-0010-0000-0000-000002000000}" name="시작지(한글)"/>
    <tableColumn id="3" xr3:uid="{00000000-0010-0000-0000-000003000000}" name="시작지(스페인어)"/>
    <tableColumn id="4" xr3:uid="{00000000-0010-0000-0000-000004000000}" name="중간 구간 1"/>
    <tableColumn id="5" xr3:uid="{00000000-0010-0000-0000-000005000000}" name="중간 구간 2"/>
    <tableColumn id="6" xr3:uid="{00000000-0010-0000-0000-000006000000}" name="중간 구간 3"/>
    <tableColumn id="7" xr3:uid="{00000000-0010-0000-0000-000007000000}" name="도착지(한글)"/>
    <tableColumn id="8" xr3:uid="{00000000-0010-0000-0000-000008000000}" name="도착지(스페인어)"/>
    <tableColumn id="9" xr3:uid="{00000000-0010-0000-0000-000009000000}" name="거리 (km)"/>
    <tableColumn id="10" xr3:uid="{00000000-0010-0000-0000-00000A000000}" name="획득고도 (m)"/>
    <tableColumn id="11" xr3:uid="{00000000-0010-0000-0000-00000B000000}" name="누적거리 (km)"/>
    <tableColumn id="12" xr3:uid="{00000000-0010-0000-0000-00000C000000}" name="남은거리 (km)"/>
    <tableColumn id="13" xr3:uid="{00000000-0010-0000-0000-00000D000000}" name="지도 X (%)"/>
    <tableColumn id="14" xr3:uid="{00000000-0010-0000-0000-00000E000000}" name="고도 X (%)"/>
    <tableColumn id="15" xr3:uid="{00000000-0010-0000-0000-00000F000000}" name="원번호 색상"/>
    <tableColumn id="16" xr3:uid="{00000000-0010-0000-0000-000010000000}" name="휴식일"/>
    <tableColumn id="17" xr3:uid="{00000000-0010-0000-0000-000011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tCoordinateTable" displayName="ChartCoordinateTable" ref="A4:J18">
  <tableColumns count="10">
    <tableColumn id="1" xr3:uid="{00000000-0010-0000-0100-000001000000}" name="원번호"/>
    <tableColumn id="2" xr3:uid="{00000000-0010-0000-0100-000002000000}" name="시작지(한글)"/>
    <tableColumn id="3" xr3:uid="{00000000-0010-0000-0100-000003000000}" name="시작지(스페인어)"/>
    <tableColumn id="4" xr3:uid="{00000000-0010-0000-0100-000004000000}" name="당일거리 (km)"/>
    <tableColumn id="5" xr3:uid="{00000000-0010-0000-0100-000005000000}" name="시작 누적거리 (km)"/>
    <tableColumn id="6" xr3:uid="{00000000-0010-0000-0100-000006000000}" name="종료 누적거리 (km)"/>
    <tableColumn id="7" xr3:uid="{00000000-0010-0000-0100-000007000000}" name="남은거리 (km)"/>
    <tableColumn id="8" xr3:uid="{00000000-0010-0000-0100-000008000000}" name="X 좌표 (%)"/>
    <tableColumn id="9" xr3:uid="{00000000-0010-0000-0100-000009000000}" name="색상"/>
    <tableColumn id="10" xr3:uid="{00000000-0010-0000-0100-00000A000000}" name="표시 규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A3" sqref="A3:K16"/>
    </sheetView>
  </sheetViews>
  <sheetFormatPr defaultRowHeight="14.25"/>
  <cols>
    <col min="1" max="1" width="7" customWidth="1"/>
    <col min="2" max="2" width="18" customWidth="1"/>
    <col min="3" max="3" width="25" customWidth="1"/>
    <col min="4" max="4" width="31" customWidth="1"/>
    <col min="5" max="5" width="36" customWidth="1"/>
    <col min="6" max="6" width="31" customWidth="1"/>
    <col min="7" max="7" width="20" customWidth="1"/>
    <col min="8" max="8" width="27" customWidth="1"/>
    <col min="9" max="9" width="11" customWidth="1"/>
    <col min="10" max="12" width="13" customWidth="1"/>
    <col min="13" max="14" width="11" customWidth="1"/>
    <col min="15" max="15" width="14" customWidth="1"/>
    <col min="16" max="16" width="10" customWidth="1"/>
    <col min="17" max="17" width="28" customWidth="1"/>
    <col min="19" max="19" width="20" customWidth="1"/>
    <col min="20" max="20" width="14" customWidth="1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20" ht="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S2" s="17" t="s">
        <v>1</v>
      </c>
      <c r="T2" s="42">
        <f>SUM(I4:I17)</f>
        <v>808.5</v>
      </c>
    </row>
    <row r="3" spans="1:20" ht="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S3" s="17" t="s">
        <v>19</v>
      </c>
      <c r="T3" s="42">
        <f>SUM(J4:J17)</f>
        <v>8500</v>
      </c>
    </row>
    <row r="4" spans="1:20" ht="15">
      <c r="A4" s="3">
        <v>1</v>
      </c>
      <c r="B4" s="2" t="s">
        <v>20</v>
      </c>
      <c r="C4" s="2" t="s">
        <v>21</v>
      </c>
      <c r="D4" s="2" t="s">
        <v>22</v>
      </c>
      <c r="E4" s="2" t="s">
        <v>23</v>
      </c>
      <c r="F4" s="2"/>
      <c r="G4" s="2" t="s">
        <v>24</v>
      </c>
      <c r="H4" s="2" t="s">
        <v>25</v>
      </c>
      <c r="I4" s="15">
        <v>48</v>
      </c>
      <c r="J4" s="16">
        <v>1350</v>
      </c>
      <c r="K4" s="15">
        <f>I4</f>
        <v>48</v>
      </c>
      <c r="L4" s="15">
        <f t="shared" ref="L4:L16" si="0">$T$2-K4</f>
        <v>760.5</v>
      </c>
      <c r="M4" s="15">
        <f>100</f>
        <v>100</v>
      </c>
      <c r="N4" s="15">
        <f t="shared" ref="N4:N16" si="1">M4</f>
        <v>100</v>
      </c>
      <c r="O4" s="2" t="s">
        <v>26</v>
      </c>
      <c r="P4" s="2" t="s">
        <v>27</v>
      </c>
      <c r="Q4" s="2" t="s">
        <v>28</v>
      </c>
      <c r="S4" s="17" t="s">
        <v>29</v>
      </c>
      <c r="T4" s="42">
        <f>COUNTIF(P4:P17,"아니오")</f>
        <v>12</v>
      </c>
    </row>
    <row r="5" spans="1:20" ht="15">
      <c r="A5" s="4">
        <v>2</v>
      </c>
      <c r="B5" s="2" t="s">
        <v>24</v>
      </c>
      <c r="C5" s="2" t="s">
        <v>25</v>
      </c>
      <c r="D5" s="2" t="s">
        <v>30</v>
      </c>
      <c r="E5" s="2" t="s">
        <v>31</v>
      </c>
      <c r="F5" s="2"/>
      <c r="G5" s="2" t="s">
        <v>32</v>
      </c>
      <c r="H5" s="2" t="s">
        <v>33</v>
      </c>
      <c r="I5" s="15">
        <v>65.900000000000006</v>
      </c>
      <c r="J5" s="16">
        <v>800</v>
      </c>
      <c r="K5" s="15">
        <f t="shared" ref="K5:K16" si="2">K4+I5</f>
        <v>113.9</v>
      </c>
      <c r="L5" s="15">
        <f t="shared" si="0"/>
        <v>694.6</v>
      </c>
      <c r="M5" s="15">
        <f t="shared" ref="M5:M16" si="3">100-(K4/$T$2*100)</f>
        <v>94.063079777365488</v>
      </c>
      <c r="N5" s="15">
        <f t="shared" si="1"/>
        <v>94.063079777365488</v>
      </c>
      <c r="O5" s="2" t="s">
        <v>34</v>
      </c>
      <c r="P5" s="2" t="s">
        <v>27</v>
      </c>
      <c r="Q5" s="2"/>
      <c r="S5" s="17" t="s">
        <v>35</v>
      </c>
      <c r="T5" s="18">
        <f>T2/T4</f>
        <v>67.375</v>
      </c>
    </row>
    <row r="6" spans="1:20" ht="15">
      <c r="A6" s="5">
        <v>3</v>
      </c>
      <c r="B6" s="2" t="s">
        <v>32</v>
      </c>
      <c r="C6" s="2" t="s">
        <v>33</v>
      </c>
      <c r="D6" s="2" t="s">
        <v>36</v>
      </c>
      <c r="E6" s="2" t="s">
        <v>37</v>
      </c>
      <c r="F6" s="2"/>
      <c r="G6" s="2" t="s">
        <v>38</v>
      </c>
      <c r="H6" s="2" t="s">
        <v>39</v>
      </c>
      <c r="I6" s="15">
        <v>61.3</v>
      </c>
      <c r="J6" s="16">
        <v>700</v>
      </c>
      <c r="K6" s="15">
        <f t="shared" si="2"/>
        <v>175.2</v>
      </c>
      <c r="L6" s="15">
        <f t="shared" si="0"/>
        <v>633.29999999999995</v>
      </c>
      <c r="M6" s="15">
        <f t="shared" si="3"/>
        <v>85.912183055040202</v>
      </c>
      <c r="N6" s="15">
        <f t="shared" si="1"/>
        <v>85.912183055040202</v>
      </c>
      <c r="O6" s="2" t="s">
        <v>40</v>
      </c>
      <c r="P6" s="2" t="s">
        <v>27</v>
      </c>
      <c r="Q6" s="2"/>
    </row>
    <row r="7" spans="1:20" ht="28.5">
      <c r="A7" s="6">
        <v>4</v>
      </c>
      <c r="B7" s="2" t="s">
        <v>38</v>
      </c>
      <c r="C7" s="2" t="s">
        <v>39</v>
      </c>
      <c r="D7" s="2" t="s">
        <v>41</v>
      </c>
      <c r="E7" s="2" t="s">
        <v>42</v>
      </c>
      <c r="F7" s="2"/>
      <c r="G7" s="2" t="s">
        <v>43</v>
      </c>
      <c r="H7" s="2" t="s">
        <v>44</v>
      </c>
      <c r="I7" s="15">
        <v>59.3</v>
      </c>
      <c r="J7" s="16">
        <v>850</v>
      </c>
      <c r="K7" s="15">
        <f t="shared" si="2"/>
        <v>234.5</v>
      </c>
      <c r="L7" s="15">
        <f t="shared" si="0"/>
        <v>574</v>
      </c>
      <c r="M7" s="15">
        <f t="shared" si="3"/>
        <v>78.330241187384047</v>
      </c>
      <c r="N7" s="15">
        <f t="shared" si="1"/>
        <v>78.330241187384047</v>
      </c>
      <c r="O7" s="2" t="s">
        <v>45</v>
      </c>
      <c r="P7" s="2" t="s">
        <v>27</v>
      </c>
      <c r="Q7" s="2"/>
    </row>
    <row r="8" spans="1:20" ht="28.5">
      <c r="A8" s="7">
        <v>5</v>
      </c>
      <c r="B8" s="2" t="s">
        <v>43</v>
      </c>
      <c r="C8" s="2" t="s">
        <v>44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15">
        <v>96.5</v>
      </c>
      <c r="J8" s="16">
        <v>350</v>
      </c>
      <c r="K8" s="15">
        <f t="shared" si="2"/>
        <v>331</v>
      </c>
      <c r="L8" s="15">
        <f t="shared" si="0"/>
        <v>477.5</v>
      </c>
      <c r="M8" s="15">
        <f t="shared" si="3"/>
        <v>70.995670995670991</v>
      </c>
      <c r="N8" s="15">
        <f t="shared" si="1"/>
        <v>70.995670995670991</v>
      </c>
      <c r="O8" s="2" t="s">
        <v>51</v>
      </c>
      <c r="P8" s="2" t="s">
        <v>27</v>
      </c>
      <c r="Q8" s="2" t="s">
        <v>52</v>
      </c>
    </row>
    <row r="9" spans="1:20" ht="28.5">
      <c r="A9" s="8">
        <v>6</v>
      </c>
      <c r="B9" s="2" t="s">
        <v>49</v>
      </c>
      <c r="C9" s="2" t="s">
        <v>50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15">
        <v>83.5</v>
      </c>
      <c r="J9" s="16">
        <v>450</v>
      </c>
      <c r="K9" s="15">
        <f t="shared" si="2"/>
        <v>414.5</v>
      </c>
      <c r="L9" s="15">
        <f t="shared" si="0"/>
        <v>394</v>
      </c>
      <c r="M9" s="15">
        <f t="shared" si="3"/>
        <v>59.059987631416206</v>
      </c>
      <c r="N9" s="15">
        <f t="shared" si="1"/>
        <v>59.059987631416206</v>
      </c>
      <c r="O9" s="2" t="s">
        <v>58</v>
      </c>
      <c r="P9" s="2" t="s">
        <v>27</v>
      </c>
      <c r="Q9" s="2"/>
    </row>
    <row r="10" spans="1:20" ht="28.5">
      <c r="A10" s="9">
        <v>7</v>
      </c>
      <c r="B10" s="2" t="s">
        <v>56</v>
      </c>
      <c r="C10" s="2" t="s">
        <v>57</v>
      </c>
      <c r="D10" s="2" t="s">
        <v>59</v>
      </c>
      <c r="E10" s="2" t="s">
        <v>60</v>
      </c>
      <c r="F10" s="2"/>
      <c r="G10" s="2" t="s">
        <v>61</v>
      </c>
      <c r="H10" s="2" t="s">
        <v>62</v>
      </c>
      <c r="I10" s="15">
        <v>68</v>
      </c>
      <c r="J10" s="16">
        <v>250</v>
      </c>
      <c r="K10" s="15">
        <f t="shared" si="2"/>
        <v>482.5</v>
      </c>
      <c r="L10" s="15">
        <f t="shared" si="0"/>
        <v>326</v>
      </c>
      <c r="M10" s="15">
        <f t="shared" si="3"/>
        <v>48.732220160791584</v>
      </c>
      <c r="N10" s="15">
        <f t="shared" si="1"/>
        <v>48.732220160791584</v>
      </c>
      <c r="O10" s="2" t="s">
        <v>63</v>
      </c>
      <c r="P10" s="2" t="s">
        <v>27</v>
      </c>
      <c r="Q10" s="2"/>
    </row>
    <row r="11" spans="1:20" ht="28.5">
      <c r="A11" s="10">
        <v>8</v>
      </c>
      <c r="B11" s="2" t="s">
        <v>61</v>
      </c>
      <c r="C11" s="2" t="s">
        <v>62</v>
      </c>
      <c r="D11" s="2"/>
      <c r="E11" s="2"/>
      <c r="F11" s="2"/>
      <c r="G11" s="2" t="s">
        <v>61</v>
      </c>
      <c r="H11" s="2" t="s">
        <v>62</v>
      </c>
      <c r="I11" s="15">
        <v>0</v>
      </c>
      <c r="J11" s="16">
        <v>0</v>
      </c>
      <c r="K11" s="15">
        <f t="shared" si="2"/>
        <v>482.5</v>
      </c>
      <c r="L11" s="15">
        <f t="shared" si="0"/>
        <v>326</v>
      </c>
      <c r="M11" s="15">
        <f t="shared" si="3"/>
        <v>40.321583178726037</v>
      </c>
      <c r="N11" s="15">
        <f t="shared" si="1"/>
        <v>40.321583178726037</v>
      </c>
      <c r="O11" s="2" t="s">
        <v>64</v>
      </c>
      <c r="P11" s="2" t="s">
        <v>65</v>
      </c>
      <c r="Q11" s="2" t="s">
        <v>66</v>
      </c>
    </row>
    <row r="12" spans="1:20" ht="28.5">
      <c r="A12" s="11">
        <v>9</v>
      </c>
      <c r="B12" s="2" t="s">
        <v>61</v>
      </c>
      <c r="C12" s="2" t="s">
        <v>62</v>
      </c>
      <c r="D12" s="2" t="s">
        <v>67</v>
      </c>
      <c r="E12" s="2" t="s">
        <v>68</v>
      </c>
      <c r="F12" s="2"/>
      <c r="G12" s="2" t="s">
        <v>69</v>
      </c>
      <c r="H12" s="2" t="s">
        <v>70</v>
      </c>
      <c r="I12" s="15">
        <v>74</v>
      </c>
      <c r="J12" s="16">
        <v>250</v>
      </c>
      <c r="K12" s="15">
        <f t="shared" si="2"/>
        <v>556.5</v>
      </c>
      <c r="L12" s="15">
        <f t="shared" si="0"/>
        <v>252</v>
      </c>
      <c r="M12" s="15">
        <f t="shared" si="3"/>
        <v>40.321583178726037</v>
      </c>
      <c r="N12" s="15">
        <f t="shared" si="1"/>
        <v>40.321583178726037</v>
      </c>
      <c r="O12" s="2" t="s">
        <v>71</v>
      </c>
      <c r="P12" s="2" t="s">
        <v>27</v>
      </c>
      <c r="Q12" s="2"/>
    </row>
    <row r="13" spans="1:20" ht="15">
      <c r="A13" s="12">
        <v>10</v>
      </c>
      <c r="B13" s="2" t="s">
        <v>69</v>
      </c>
      <c r="C13" s="2" t="s">
        <v>70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15">
        <v>75.5</v>
      </c>
      <c r="J13" s="16">
        <v>1050</v>
      </c>
      <c r="K13" s="15">
        <f t="shared" si="2"/>
        <v>632</v>
      </c>
      <c r="L13" s="15">
        <f t="shared" si="0"/>
        <v>176.5</v>
      </c>
      <c r="M13" s="15">
        <f t="shared" si="3"/>
        <v>31.168831168831161</v>
      </c>
      <c r="N13" s="15">
        <f t="shared" si="1"/>
        <v>31.168831168831161</v>
      </c>
      <c r="O13" s="2" t="s">
        <v>77</v>
      </c>
      <c r="P13" s="2" t="s">
        <v>27</v>
      </c>
      <c r="Q13" s="2" t="s">
        <v>78</v>
      </c>
    </row>
    <row r="14" spans="1:20" ht="15">
      <c r="A14" s="13">
        <v>11</v>
      </c>
      <c r="B14" s="2" t="s">
        <v>75</v>
      </c>
      <c r="C14" s="2" t="s">
        <v>76</v>
      </c>
      <c r="D14" s="2" t="s">
        <v>79</v>
      </c>
      <c r="E14" s="2" t="s">
        <v>80</v>
      </c>
      <c r="F14" s="2"/>
      <c r="G14" s="2" t="s">
        <v>81</v>
      </c>
      <c r="H14" s="2" t="s">
        <v>82</v>
      </c>
      <c r="I14" s="15">
        <v>60</v>
      </c>
      <c r="J14" s="16">
        <v>1250</v>
      </c>
      <c r="K14" s="15">
        <f t="shared" si="2"/>
        <v>692</v>
      </c>
      <c r="L14" s="15">
        <f t="shared" si="0"/>
        <v>116.5</v>
      </c>
      <c r="M14" s="15">
        <f t="shared" si="3"/>
        <v>21.830550401978982</v>
      </c>
      <c r="N14" s="15">
        <f t="shared" si="1"/>
        <v>21.830550401978982</v>
      </c>
      <c r="O14" s="2" t="s">
        <v>83</v>
      </c>
      <c r="P14" s="2" t="s">
        <v>27</v>
      </c>
      <c r="Q14" s="2" t="s">
        <v>84</v>
      </c>
    </row>
    <row r="15" spans="1:20" ht="15">
      <c r="A15" s="14">
        <v>12</v>
      </c>
      <c r="B15" s="2" t="s">
        <v>81</v>
      </c>
      <c r="C15" s="2" t="s">
        <v>82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  <c r="I15" s="15">
        <v>76.5</v>
      </c>
      <c r="J15" s="16">
        <v>900</v>
      </c>
      <c r="K15" s="15">
        <f t="shared" si="2"/>
        <v>768.5</v>
      </c>
      <c r="L15" s="15">
        <f t="shared" si="0"/>
        <v>40</v>
      </c>
      <c r="M15" s="15">
        <f t="shared" si="3"/>
        <v>14.409400123685828</v>
      </c>
      <c r="N15" s="15">
        <f t="shared" si="1"/>
        <v>14.409400123685828</v>
      </c>
      <c r="O15" s="2" t="s">
        <v>90</v>
      </c>
      <c r="P15" s="2" t="s">
        <v>27</v>
      </c>
      <c r="Q15" s="2"/>
    </row>
    <row r="16" spans="1:20" ht="15">
      <c r="A16" s="3">
        <v>13</v>
      </c>
      <c r="B16" s="2" t="s">
        <v>88</v>
      </c>
      <c r="C16" s="2" t="s">
        <v>89</v>
      </c>
      <c r="D16" s="2" t="s">
        <v>91</v>
      </c>
      <c r="E16" s="2"/>
      <c r="F16" s="2"/>
      <c r="G16" s="2" t="s">
        <v>92</v>
      </c>
      <c r="H16" s="2" t="s">
        <v>93</v>
      </c>
      <c r="I16" s="15">
        <v>40</v>
      </c>
      <c r="J16" s="16">
        <v>300</v>
      </c>
      <c r="K16" s="15">
        <f t="shared" si="2"/>
        <v>808.5</v>
      </c>
      <c r="L16" s="15">
        <f t="shared" si="0"/>
        <v>0</v>
      </c>
      <c r="M16" s="15">
        <f t="shared" si="3"/>
        <v>4.9474335188620842</v>
      </c>
      <c r="N16" s="15">
        <f t="shared" si="1"/>
        <v>4.9474335188620842</v>
      </c>
      <c r="O16" s="2" t="s">
        <v>26</v>
      </c>
      <c r="P16" s="2" t="s">
        <v>27</v>
      </c>
      <c r="Q16" s="2" t="s">
        <v>94</v>
      </c>
    </row>
    <row r="20" spans="1:4" ht="15">
      <c r="A20" s="25" t="s">
        <v>2</v>
      </c>
      <c r="B20" s="26" t="s">
        <v>3</v>
      </c>
      <c r="C20" s="26" t="s">
        <v>10</v>
      </c>
      <c r="D20" s="26" t="s">
        <v>12</v>
      </c>
    </row>
    <row r="21" spans="1:4" ht="15">
      <c r="A21" s="27">
        <v>14</v>
      </c>
      <c r="B21" s="44" t="s">
        <v>120</v>
      </c>
      <c r="C21" s="39">
        <v>40</v>
      </c>
      <c r="D21" s="26">
        <v>808.5</v>
      </c>
    </row>
    <row r="22" spans="1:4" ht="15">
      <c r="A22" s="27">
        <v>13</v>
      </c>
      <c r="B22" s="43" t="s">
        <v>88</v>
      </c>
      <c r="C22" s="40">
        <v>76.5</v>
      </c>
      <c r="D22" s="40">
        <v>768.5</v>
      </c>
    </row>
    <row r="23" spans="1:4" ht="15">
      <c r="A23" s="38">
        <v>12</v>
      </c>
      <c r="B23" s="44" t="s">
        <v>81</v>
      </c>
      <c r="C23" s="39">
        <v>60</v>
      </c>
      <c r="D23" s="39">
        <v>692</v>
      </c>
    </row>
    <row r="24" spans="1:4" ht="15">
      <c r="A24" s="37">
        <v>11</v>
      </c>
      <c r="B24" s="43" t="s">
        <v>75</v>
      </c>
      <c r="C24" s="40">
        <v>75.5</v>
      </c>
      <c r="D24" s="40">
        <v>632</v>
      </c>
    </row>
    <row r="25" spans="1:4" ht="15">
      <c r="A25" s="36">
        <v>10</v>
      </c>
      <c r="B25" s="44" t="s">
        <v>69</v>
      </c>
      <c r="C25" s="39">
        <v>74</v>
      </c>
      <c r="D25" s="39">
        <v>556.5</v>
      </c>
    </row>
    <row r="26" spans="1:4" ht="15">
      <c r="A26" s="35">
        <v>9</v>
      </c>
      <c r="B26" s="43" t="s">
        <v>61</v>
      </c>
      <c r="C26" s="40">
        <v>0</v>
      </c>
      <c r="D26" s="40">
        <v>482.5</v>
      </c>
    </row>
    <row r="27" spans="1:4" ht="15">
      <c r="A27" s="34">
        <v>8</v>
      </c>
      <c r="B27" s="44" t="s">
        <v>61</v>
      </c>
      <c r="C27" s="39">
        <v>68</v>
      </c>
      <c r="D27" s="39">
        <v>482.5</v>
      </c>
    </row>
    <row r="28" spans="1:4" ht="15">
      <c r="A28" s="33">
        <v>7</v>
      </c>
      <c r="B28" s="43" t="s">
        <v>56</v>
      </c>
      <c r="C28" s="40">
        <v>83.5</v>
      </c>
      <c r="D28" s="40">
        <v>414.5</v>
      </c>
    </row>
    <row r="29" spans="1:4" ht="15">
      <c r="A29" s="32">
        <v>6</v>
      </c>
      <c r="B29" s="44" t="s">
        <v>49</v>
      </c>
      <c r="C29" s="39">
        <v>96.5</v>
      </c>
      <c r="D29" s="39">
        <v>331</v>
      </c>
    </row>
    <row r="30" spans="1:4" ht="15">
      <c r="A30" s="31">
        <v>5</v>
      </c>
      <c r="B30" s="43" t="s">
        <v>43</v>
      </c>
      <c r="C30" s="40">
        <v>59.3</v>
      </c>
      <c r="D30" s="40">
        <v>234.5</v>
      </c>
    </row>
    <row r="31" spans="1:4" ht="15">
      <c r="A31" s="30">
        <v>4</v>
      </c>
      <c r="B31" s="44" t="s">
        <v>38</v>
      </c>
      <c r="C31" s="39">
        <v>61.3</v>
      </c>
      <c r="D31" s="39">
        <v>175.2</v>
      </c>
    </row>
    <row r="32" spans="1:4" ht="15">
      <c r="A32" s="29">
        <v>3</v>
      </c>
      <c r="B32" s="43" t="s">
        <v>32</v>
      </c>
      <c r="C32" s="40">
        <v>65.900000000000006</v>
      </c>
      <c r="D32" s="40">
        <v>113.9</v>
      </c>
    </row>
    <row r="33" spans="1:4" ht="15">
      <c r="A33" s="28">
        <v>2</v>
      </c>
      <c r="B33" s="44" t="s">
        <v>24</v>
      </c>
      <c r="C33" s="39">
        <v>48</v>
      </c>
      <c r="D33" s="39">
        <v>48</v>
      </c>
    </row>
    <row r="34" spans="1:4" ht="15">
      <c r="A34" s="27">
        <v>1</v>
      </c>
      <c r="B34" s="43" t="s">
        <v>20</v>
      </c>
      <c r="C34" s="41">
        <v>0</v>
      </c>
      <c r="D34" s="41">
        <v>0</v>
      </c>
    </row>
  </sheetData>
  <mergeCells count="1">
    <mergeCell ref="A1:Q2"/>
  </mergeCells>
  <conditionalFormatting sqref="P4:P17">
    <cfRule type="expression" dxfId="0" priority="1">
      <formula>P4="예"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defaultRowHeight="14.25"/>
  <cols>
    <col min="1" max="1" width="9" customWidth="1"/>
    <col min="2" max="2" width="20" customWidth="1"/>
    <col min="3" max="3" width="26" customWidth="1"/>
    <col min="4" max="4" width="14" customWidth="1"/>
    <col min="5" max="6" width="17" customWidth="1"/>
    <col min="7" max="7" width="15" customWidth="1"/>
    <col min="8" max="8" width="13" customWidth="1"/>
    <col min="9" max="9" width="14" customWidth="1"/>
    <col min="10" max="10" width="34" customWidth="1"/>
  </cols>
  <sheetData>
    <row r="1" spans="1:10">
      <c r="A1" s="23" t="s">
        <v>95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3"/>
      <c r="B2" s="23"/>
      <c r="C2" s="23"/>
      <c r="D2" s="23"/>
      <c r="E2" s="23"/>
      <c r="F2" s="23"/>
      <c r="G2" s="23"/>
      <c r="H2" s="23"/>
      <c r="I2" s="23"/>
      <c r="J2" s="23"/>
    </row>
    <row r="4" spans="1:10" ht="15">
      <c r="A4" s="19" t="s">
        <v>96</v>
      </c>
      <c r="B4" s="19" t="s">
        <v>3</v>
      </c>
      <c r="C4" s="19" t="s">
        <v>4</v>
      </c>
      <c r="D4" s="19" t="s">
        <v>97</v>
      </c>
      <c r="E4" s="19" t="s">
        <v>98</v>
      </c>
      <c r="F4" s="19" t="s">
        <v>99</v>
      </c>
      <c r="G4" s="19" t="s">
        <v>13</v>
      </c>
      <c r="H4" s="19" t="s">
        <v>100</v>
      </c>
      <c r="I4" s="19" t="s">
        <v>101</v>
      </c>
      <c r="J4" s="19" t="s">
        <v>102</v>
      </c>
    </row>
    <row r="5" spans="1:10" ht="15">
      <c r="A5" s="3"/>
      <c r="B5" s="2"/>
      <c r="C5" s="2"/>
      <c r="D5" s="15"/>
      <c r="E5" s="15"/>
      <c r="F5" s="15"/>
      <c r="G5" s="15"/>
      <c r="H5" s="15"/>
      <c r="I5" s="2"/>
      <c r="J5" s="2"/>
    </row>
    <row r="6" spans="1:10" ht="15">
      <c r="A6" s="4">
        <f>'Master Route'!A4</f>
        <v>1</v>
      </c>
      <c r="B6" s="2" t="str">
        <f>'Master Route'!B4</f>
        <v>생장</v>
      </c>
      <c r="C6" s="2" t="str">
        <f>'Master Route'!C4</f>
        <v>Saint-Jean-Pied-de-Port</v>
      </c>
      <c r="D6" s="15">
        <f>'Master Route'!I4</f>
        <v>48</v>
      </c>
      <c r="E6" s="15">
        <v>0</v>
      </c>
      <c r="F6" s="15">
        <f>'Master Route'!K4</f>
        <v>48</v>
      </c>
      <c r="G6" s="15">
        <f>'Master Route'!L4</f>
        <v>760.5</v>
      </c>
      <c r="H6" s="15">
        <f>'Master Route'!M4</f>
        <v>100</v>
      </c>
      <c r="I6" s="2" t="str">
        <f>'Master Route'!O4</f>
        <v>#0B6E3A</v>
      </c>
      <c r="J6" s="2" t="str">
        <f t="shared" ref="J6:J17" si="0">IF(A6=8,"7번과 같은 X좌표·같은 고도","원번호·누적거리·시작지 수직 정렬")</f>
        <v>원번호·누적거리·시작지 수직 정렬</v>
      </c>
    </row>
    <row r="7" spans="1:10" ht="15">
      <c r="A7" s="5">
        <f>'Master Route'!A5</f>
        <v>2</v>
      </c>
      <c r="B7" s="2" t="str">
        <f>'Master Route'!B5</f>
        <v>수비리</v>
      </c>
      <c r="C7" s="2" t="str">
        <f>'Master Route'!C5</f>
        <v>Zubiri</v>
      </c>
      <c r="D7" s="15">
        <f>'Master Route'!I5</f>
        <v>65.900000000000006</v>
      </c>
      <c r="E7" s="15">
        <f>'Master Route'!K4</f>
        <v>48</v>
      </c>
      <c r="F7" s="15">
        <f>'Master Route'!K5</f>
        <v>113.9</v>
      </c>
      <c r="G7" s="15">
        <f>'Master Route'!L5</f>
        <v>694.6</v>
      </c>
      <c r="H7" s="15">
        <f>'Master Route'!M5</f>
        <v>94.063079777365488</v>
      </c>
      <c r="I7" s="2" t="str">
        <f>'Master Route'!O5</f>
        <v>#138A50</v>
      </c>
      <c r="J7" s="2" t="str">
        <f t="shared" si="0"/>
        <v>원번호·누적거리·시작지 수직 정렬</v>
      </c>
    </row>
    <row r="8" spans="1:10" ht="15">
      <c r="A8" s="6">
        <f>'Master Route'!A6</f>
        <v>3</v>
      </c>
      <c r="B8" s="2" t="str">
        <f>'Master Route'!B6</f>
        <v>에스떼야</v>
      </c>
      <c r="C8" s="2" t="str">
        <f>'Master Route'!C6</f>
        <v>Estella</v>
      </c>
      <c r="D8" s="15">
        <f>'Master Route'!I6</f>
        <v>61.3</v>
      </c>
      <c r="E8" s="15">
        <f>'Master Route'!K5</f>
        <v>113.9</v>
      </c>
      <c r="F8" s="15">
        <f>'Master Route'!K6</f>
        <v>175.2</v>
      </c>
      <c r="G8" s="15">
        <f>'Master Route'!L6</f>
        <v>633.29999999999995</v>
      </c>
      <c r="H8" s="15">
        <f>'Master Route'!M6</f>
        <v>85.912183055040202</v>
      </c>
      <c r="I8" s="2" t="str">
        <f>'Master Route'!O6</f>
        <v>#0F6B9D</v>
      </c>
      <c r="J8" s="2" t="str">
        <f t="shared" si="0"/>
        <v>원번호·누적거리·시작지 수직 정렬</v>
      </c>
    </row>
    <row r="9" spans="1:10" ht="15">
      <c r="A9" s="7">
        <f>'Master Route'!A7</f>
        <v>4</v>
      </c>
      <c r="B9" s="2" t="str">
        <f>'Master Route'!B7</f>
        <v>나베레테</v>
      </c>
      <c r="C9" s="2" t="str">
        <f>'Master Route'!C7</f>
        <v>Navarrete</v>
      </c>
      <c r="D9" s="15">
        <f>'Master Route'!I7</f>
        <v>59.3</v>
      </c>
      <c r="E9" s="15">
        <f>'Master Route'!K6</f>
        <v>175.2</v>
      </c>
      <c r="F9" s="15">
        <f>'Master Route'!K7</f>
        <v>234.5</v>
      </c>
      <c r="G9" s="15">
        <f>'Master Route'!L7</f>
        <v>574</v>
      </c>
      <c r="H9" s="15">
        <f>'Master Route'!M7</f>
        <v>78.330241187384047</v>
      </c>
      <c r="I9" s="2" t="str">
        <f>'Master Route'!O7</f>
        <v>#154A8A</v>
      </c>
      <c r="J9" s="2" t="str">
        <f t="shared" si="0"/>
        <v>원번호·누적거리·시작지 수직 정렬</v>
      </c>
    </row>
    <row r="10" spans="1:10" ht="15">
      <c r="A10" s="8">
        <f>'Master Route'!A8</f>
        <v>5</v>
      </c>
      <c r="B10" s="2" t="str">
        <f>'Master Route'!B8</f>
        <v>벨로라도</v>
      </c>
      <c r="C10" s="2" t="str">
        <f>'Master Route'!C8</f>
        <v>Belorado</v>
      </c>
      <c r="D10" s="15">
        <f>'Master Route'!I8</f>
        <v>96.5</v>
      </c>
      <c r="E10" s="15">
        <f>'Master Route'!K7</f>
        <v>234.5</v>
      </c>
      <c r="F10" s="15">
        <f>'Master Route'!K8</f>
        <v>331</v>
      </c>
      <c r="G10" s="15">
        <f>'Master Route'!L8</f>
        <v>477.5</v>
      </c>
      <c r="H10" s="15">
        <f>'Master Route'!M8</f>
        <v>70.995670995670991</v>
      </c>
      <c r="I10" s="2" t="str">
        <f>'Master Route'!O8</f>
        <v>#F06A00</v>
      </c>
      <c r="J10" s="2" t="str">
        <f t="shared" si="0"/>
        <v>원번호·누적거리·시작지 수직 정렬</v>
      </c>
    </row>
    <row r="11" spans="1:10" ht="15">
      <c r="A11" s="9">
        <f>'Master Route'!A9</f>
        <v>6</v>
      </c>
      <c r="B11" s="2" t="str">
        <f>'Master Route'!B9</f>
        <v>키스트로헤리스</v>
      </c>
      <c r="C11" s="2" t="str">
        <f>'Master Route'!C9</f>
        <v>Castrojeriz</v>
      </c>
      <c r="D11" s="15">
        <f>'Master Route'!I9</f>
        <v>83.5</v>
      </c>
      <c r="E11" s="15">
        <f>'Master Route'!K8</f>
        <v>331</v>
      </c>
      <c r="F11" s="15">
        <f>'Master Route'!K9</f>
        <v>414.5</v>
      </c>
      <c r="G11" s="15">
        <f>'Master Route'!L9</f>
        <v>394</v>
      </c>
      <c r="H11" s="15">
        <f>'Master Route'!M9</f>
        <v>59.059987631416206</v>
      </c>
      <c r="I11" s="2" t="str">
        <f>'Master Route'!O9</f>
        <v>#F28C00</v>
      </c>
      <c r="J11" s="2" t="str">
        <f t="shared" si="0"/>
        <v>원번호·누적거리·시작지 수직 정렬</v>
      </c>
    </row>
    <row r="12" spans="1:10" ht="15">
      <c r="A12" s="10">
        <f>'Master Route'!A10</f>
        <v>7</v>
      </c>
      <c r="B12" s="2" t="str">
        <f>'Master Route'!B10</f>
        <v>사아군</v>
      </c>
      <c r="C12" s="2" t="str">
        <f>'Master Route'!C10</f>
        <v>Sahagún</v>
      </c>
      <c r="D12" s="15">
        <f>'Master Route'!I10</f>
        <v>68</v>
      </c>
      <c r="E12" s="15">
        <f>'Master Route'!K9</f>
        <v>414.5</v>
      </c>
      <c r="F12" s="15">
        <f>'Master Route'!K10</f>
        <v>482.5</v>
      </c>
      <c r="G12" s="15">
        <f>'Master Route'!L10</f>
        <v>326</v>
      </c>
      <c r="H12" s="15">
        <f>'Master Route'!M10</f>
        <v>48.732220160791584</v>
      </c>
      <c r="I12" s="2" t="str">
        <f>'Master Route'!O10</f>
        <v>#D7191C</v>
      </c>
      <c r="J12" s="2" t="str">
        <f t="shared" si="0"/>
        <v>원번호·누적거리·시작지 수직 정렬</v>
      </c>
    </row>
    <row r="13" spans="1:10" ht="15">
      <c r="A13" s="11">
        <f>'Master Route'!A11</f>
        <v>8</v>
      </c>
      <c r="B13" s="2" t="str">
        <f>'Master Route'!B11</f>
        <v>레온</v>
      </c>
      <c r="C13" s="2" t="str">
        <f>'Master Route'!C11</f>
        <v>León</v>
      </c>
      <c r="D13" s="15">
        <f>'Master Route'!I11</f>
        <v>0</v>
      </c>
      <c r="E13" s="15">
        <f>'Master Route'!K10</f>
        <v>482.5</v>
      </c>
      <c r="F13" s="15">
        <f>'Master Route'!K11</f>
        <v>482.5</v>
      </c>
      <c r="G13" s="15">
        <f>'Master Route'!L11</f>
        <v>326</v>
      </c>
      <c r="H13" s="15">
        <f>'Master Route'!M11</f>
        <v>40.321583178726037</v>
      </c>
      <c r="I13" s="2" t="str">
        <f>'Master Route'!O11</f>
        <v>#E31A1C</v>
      </c>
      <c r="J13" s="2" t="str">
        <f t="shared" si="0"/>
        <v>7번과 같은 X좌표·같은 고도</v>
      </c>
    </row>
    <row r="14" spans="1:10" ht="15">
      <c r="A14" s="12">
        <f>'Master Route'!A12</f>
        <v>9</v>
      </c>
      <c r="B14" s="2" t="str">
        <f>'Master Route'!B12</f>
        <v>레온</v>
      </c>
      <c r="C14" s="2" t="str">
        <f>'Master Route'!C12</f>
        <v>León</v>
      </c>
      <c r="D14" s="15">
        <f>'Master Route'!I12</f>
        <v>74</v>
      </c>
      <c r="E14" s="15">
        <f>'Master Route'!K11</f>
        <v>482.5</v>
      </c>
      <c r="F14" s="15">
        <f>'Master Route'!K12</f>
        <v>556.5</v>
      </c>
      <c r="G14" s="15">
        <f>'Master Route'!L12</f>
        <v>252</v>
      </c>
      <c r="H14" s="15">
        <f>'Master Route'!M12</f>
        <v>40.321583178726037</v>
      </c>
      <c r="I14" s="2" t="str">
        <f>'Master Route'!O12</f>
        <v>#B2185B</v>
      </c>
      <c r="J14" s="2" t="str">
        <f t="shared" si="0"/>
        <v>원번호·누적거리·시작지 수직 정렬</v>
      </c>
    </row>
    <row r="15" spans="1:10" ht="15">
      <c r="A15" s="13">
        <f>'Master Route'!A13</f>
        <v>10</v>
      </c>
      <c r="B15" s="2" t="str">
        <f>'Master Route'!B13</f>
        <v>라바날 델 까미노</v>
      </c>
      <c r="C15" s="2" t="str">
        <f>'Master Route'!C13</f>
        <v>Rabanal del Camino</v>
      </c>
      <c r="D15" s="15">
        <f>'Master Route'!I13</f>
        <v>75.5</v>
      </c>
      <c r="E15" s="15">
        <f>'Master Route'!K12</f>
        <v>556.5</v>
      </c>
      <c r="F15" s="15">
        <f>'Master Route'!K13</f>
        <v>632</v>
      </c>
      <c r="G15" s="15">
        <f>'Master Route'!L13</f>
        <v>176.5</v>
      </c>
      <c r="H15" s="15">
        <f>'Master Route'!M13</f>
        <v>31.168831168831161</v>
      </c>
      <c r="I15" s="2" t="str">
        <f>'Master Route'!O13</f>
        <v>#6A1B7B</v>
      </c>
      <c r="J15" s="2" t="str">
        <f t="shared" si="0"/>
        <v>원번호·누적거리·시작지 수직 정렬</v>
      </c>
    </row>
    <row r="16" spans="1:10" ht="15">
      <c r="A16" s="14">
        <f>'Master Route'!A14</f>
        <v>11</v>
      </c>
      <c r="B16" s="2" t="str">
        <f>'Master Route'!B14</f>
        <v>베가 데 발까르세</v>
      </c>
      <c r="C16" s="2" t="str">
        <f>'Master Route'!C14</f>
        <v>Vega de Valcarce</v>
      </c>
      <c r="D16" s="15">
        <f>'Master Route'!I14</f>
        <v>60</v>
      </c>
      <c r="E16" s="15">
        <f>'Master Route'!K13</f>
        <v>632</v>
      </c>
      <c r="F16" s="15">
        <f>'Master Route'!K14</f>
        <v>692</v>
      </c>
      <c r="G16" s="15">
        <f>'Master Route'!L14</f>
        <v>116.5</v>
      </c>
      <c r="H16" s="15">
        <f>'Master Route'!M14</f>
        <v>21.830550401978982</v>
      </c>
      <c r="I16" s="2" t="str">
        <f>'Master Route'!O14</f>
        <v>#183A7A</v>
      </c>
      <c r="J16" s="2" t="str">
        <f t="shared" si="0"/>
        <v>원번호·누적거리·시작지 수직 정렬</v>
      </c>
    </row>
    <row r="17" spans="1:10" ht="15">
      <c r="A17" s="3">
        <f>'Master Route'!A15</f>
        <v>12</v>
      </c>
      <c r="B17" s="2" t="str">
        <f>'Master Route'!B15</f>
        <v>사리아</v>
      </c>
      <c r="C17" s="2" t="str">
        <f>'Master Route'!C15</f>
        <v>Sarria</v>
      </c>
      <c r="D17" s="15">
        <f>'Master Route'!I15</f>
        <v>76.5</v>
      </c>
      <c r="E17" s="15">
        <f>'Master Route'!K14</f>
        <v>692</v>
      </c>
      <c r="F17" s="15">
        <f>'Master Route'!K15</f>
        <v>768.5</v>
      </c>
      <c r="G17" s="15">
        <f>'Master Route'!L15</f>
        <v>40</v>
      </c>
      <c r="H17" s="15">
        <f>'Master Route'!M15</f>
        <v>14.409400123685828</v>
      </c>
      <c r="I17" s="2" t="str">
        <f>'Master Route'!O15</f>
        <v>#1F58B5</v>
      </c>
      <c r="J17" s="2" t="str">
        <f t="shared" si="0"/>
        <v>원번호·누적거리·시작지 수직 정렬</v>
      </c>
    </row>
    <row r="18" spans="1:10" ht="15">
      <c r="A18" s="20" t="s">
        <v>103</v>
      </c>
      <c r="B18" s="2" t="s">
        <v>92</v>
      </c>
      <c r="C18" s="2" t="s">
        <v>93</v>
      </c>
      <c r="D18" s="15">
        <v>0</v>
      </c>
      <c r="E18" s="15">
        <f>'Master Route'!T2</f>
        <v>808.5</v>
      </c>
      <c r="F18" s="15">
        <f>'Master Route'!T2</f>
        <v>808.5</v>
      </c>
      <c r="G18" s="15">
        <v>0</v>
      </c>
      <c r="H18" s="15">
        <v>0</v>
      </c>
      <c r="I18" s="2" t="s">
        <v>104</v>
      </c>
      <c r="J18" s="2" t="s">
        <v>105</v>
      </c>
    </row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25"/>
  <cols>
    <col min="1" max="1" width="22" customWidth="1"/>
    <col min="2" max="2" width="62" customWidth="1"/>
  </cols>
  <sheetData>
    <row r="1" spans="1:6" ht="20.25">
      <c r="A1" s="24" t="s">
        <v>106</v>
      </c>
      <c r="B1" s="24"/>
      <c r="C1" s="24"/>
      <c r="D1" s="24"/>
      <c r="E1" s="24"/>
      <c r="F1" s="24"/>
    </row>
    <row r="3" spans="1:6" ht="15">
      <c r="A3" s="21" t="s">
        <v>107</v>
      </c>
      <c r="B3" s="21" t="s">
        <v>108</v>
      </c>
    </row>
    <row r="4" spans="1:6">
      <c r="A4" s="2" t="s">
        <v>109</v>
      </c>
      <c r="B4" s="2" t="s">
        <v>110</v>
      </c>
    </row>
    <row r="5" spans="1:6">
      <c r="A5" s="2" t="s">
        <v>111</v>
      </c>
      <c r="B5" s="2" t="s">
        <v>112</v>
      </c>
    </row>
    <row r="6" spans="1:6">
      <c r="A6" s="2" t="s">
        <v>113</v>
      </c>
      <c r="B6" s="2" t="s">
        <v>114</v>
      </c>
    </row>
    <row r="7" spans="1:6">
      <c r="A7" s="2" t="s">
        <v>115</v>
      </c>
      <c r="B7" s="2" t="s">
        <v>116</v>
      </c>
    </row>
    <row r="8" spans="1:6">
      <c r="A8" s="2" t="s">
        <v>117</v>
      </c>
      <c r="B8" s="2" t="s">
        <v>118</v>
      </c>
    </row>
    <row r="9" spans="1:6">
      <c r="A9" s="2" t="s">
        <v>103</v>
      </c>
      <c r="B9" s="2" t="s">
        <v>119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Route</vt:lpstr>
      <vt:lpstr>Chart Coordinates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jongbin ym</cp:lastModifiedBy>
  <dcterms:modified xsi:type="dcterms:W3CDTF">2026-07-20T00:07:24Z</dcterms:modified>
</cp:coreProperties>
</file>