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d9812eb6e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ogle Maps Routes" sheetId="1" r:id="Ra3ec349a27024f2d"/>
    <x:sheet xmlns:r="http://schemas.openxmlformats.org/officeDocument/2006/relationships" name="Quick Links" sheetId="2" r:id="R2467a1e39749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55C7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0563C1"/>
      <x:name val="Carlito"/>
    </x:font>
    <x:font>
      <x:sz val="9"/>
      <x:color rgb="FF666666"/>
      <x:name val="Carlito"/>
    </x:font>
    <x:font>
      <x:b/>
      <x:sz val="17"/>
      <x:color rgb="FFFFFFFF"/>
      <x:name val="Carlito"/>
    </x:font>
    <x:font>
      <x:b/>
      <x:sz val="11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63A70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  <x:fill>
      <x:patternFill patternType="solid">
        <x:fgColor rgb="FF0B6E3A"/>
      </x:patternFill>
    </x:fill>
    <x:fill>
      <x:patternFill patternType="solid">
        <x:fgColor rgb="FF138A50"/>
      </x:patternFill>
    </x:fill>
    <x:fill>
      <x:patternFill patternType="solid">
        <x:fgColor rgb="FF0F6B9D"/>
      </x:patternFill>
    </x:fill>
    <x:fill>
      <x:patternFill patternType="solid">
        <x:fgColor rgb="FF154A8A"/>
      </x:patternFill>
    </x:fill>
    <x:fill>
      <x:patternFill patternType="solid">
        <x:fgColor rgb="FFF06A00"/>
      </x:patternFill>
    </x:fill>
    <x:fill>
      <x:patternFill patternType="solid">
        <x:fgColor rgb="FFF28C00"/>
      </x:patternFill>
    </x:fill>
    <x:fill>
      <x:patternFill patternType="solid">
        <x:fgColor rgb="FFD7191C"/>
      </x:patternFill>
    </x:fill>
    <x:fill>
      <x:patternFill patternType="solid">
        <x:fgColor rgb="FFE31A1C"/>
      </x:patternFill>
    </x:fill>
    <x:fill>
      <x:patternFill patternType="solid">
        <x:fgColor rgb="FFB2185B"/>
      </x:patternFill>
    </x:fill>
    <x:fill>
      <x:patternFill patternType="solid">
        <x:fgColor rgb="FF6A1B7B"/>
      </x:patternFill>
    </x:fill>
    <x:fill>
      <x:patternFill patternType="solid">
        <x:fgColor rgb="FF183A7A"/>
      </x:patternFill>
    </x:fill>
    <x:fill>
      <x:patternFill patternType="solid">
        <x:fgColor rgb="FF1F58B5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4" fillId="13" borderId="1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4" fillId="14" borderId="1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4" fillId="15" borderId="1" xfId="0" applyNumberFormat="1" applyFont="1" applyFill="1" applyBorder="1" applyAlignment="1">
      <x:alignment horizontal="center" vertic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4" fillId="1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0" fontId="3" fillId="3" borderId="1" xfId="0" applyNumberFormat="1" applyFont="1" applyFill="1" applyBorder="1" applyAlignment="1">
      <x:alignment horizontal="center"/>
    </x:xf>
    <x:xf numFmtId="201" fontId="3" fillId="3" borderId="0" xfId="0" applyNumberFormat="1" applyFont="1" applyFill="1" applyBorder="1" applyAlignment="1">
      <x:alignment horizontal="center"/>
    </x:xf>
    <x:xf numFmtId="201" fontId="3" fillId="3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eab14859e4e7d" /><Relationship Type="http://schemas.openxmlformats.org/officeDocument/2006/relationships/theme" Target="/xl/theme/theme1.xml" Id="R882d66e412044e7f" /><Relationship Type="http://schemas.openxmlformats.org/officeDocument/2006/relationships/sharedStrings" Target="/xl/sharedStrings.xml" Id="R681947385ee24887" /><Relationship Type="http://schemas.openxmlformats.org/officeDocument/2006/relationships/worksheet" Target="/xl/worksheets/sheet1.xml" Id="Ra3ec349a27024f2d" /><Relationship Type="http://schemas.openxmlformats.org/officeDocument/2006/relationships/worksheet" Target="/xl/worksheets/sheet2.xml" Id="R2467a1e39749453d" /></Relationships>
</file>

<file path=xl/tables/table1.xml><?xml version="1.0" encoding="utf-8"?>
<x:table xmlns:x="http://schemas.openxmlformats.org/spreadsheetml/2006/main" id="1" name="CaminoGoogleMapsRoutes" displayName="CaminoGoogleMapsRoutes" ref="A5:N18" headerRowCount="1">
  <x:tableColumns count="14">
    <x:tableColumn id="1" name="일차"/>
    <x:tableColumn id="2" name="시작지(한글)"/>
    <x:tableColumn id="3" name="시작지(스페인어)"/>
    <x:tableColumn id="4" name="중간 구간 1"/>
    <x:tableColumn id="5" name="중간 구간 2"/>
    <x:tableColumn id="6" name="중간 구간 3"/>
    <x:tableColumn id="7" name="도착지(한글)"/>
    <x:tableColumn id="8" name="도착지(스페인어)"/>
    <x:tableColumn id="9" name="거리 (km)"/>
    <x:tableColumn id="10" name="획득고도 (m)"/>
    <x:tableColumn id="11" name="누적거리 (km)"/>
    <x:tableColumn id="12" name="Google Maps 링크"/>
    <x:tableColumn id="13" name="전체 URL"/>
    <x:tableColumn id="14" name="상태"/>
  </x:tableColumns>
  <x:tableStyleInfo name="TableStyleMedium2" showRowStripes="1"/>
</x:table>
</file>

<file path=xl/tables/table2.xml><?xml version="1.0" encoding="utf-8"?>
<x:table xmlns:x="http://schemas.openxmlformats.org/spreadsheetml/2006/main" id="2" name="QuickLinksTable" displayName="QuickLinksTable" ref="A4:E17" headerRowCount="1">
  <x:tableColumns count="5">
    <x:tableColumn id="1" name="일차"/>
    <x:tableColumn id="2" name="출발 → 도착"/>
    <x:tableColumn id="3" name="거리 (km)"/>
    <x:tableColumn id="4" name="Google Maps"/>
    <x:tableColumn id="5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a6a1f7a8b944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bf53cac4c6422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5" hidden="0" customWidth="1"/>
    <x:col min="4" max="4" width="31" hidden="0" customWidth="1"/>
    <x:col min="5" max="5" width="38" hidden="0" customWidth="1"/>
    <x:col min="6" max="6" width="32" hidden="0" customWidth="1"/>
    <x:col min="7" max="7" width="20" hidden="0" customWidth="1"/>
    <x:col min="8" max="8" width="27" hidden="0" customWidth="1"/>
    <x:col min="9" max="9" width="11" hidden="0" customWidth="1"/>
    <x:col min="10" max="10" width="13" hidden="0" customWidth="1"/>
    <x:col min="11" max="11" width="14" hidden="0" customWidth="1"/>
    <x:col min="12" max="12" width="26" hidden="0" customWidth="1"/>
    <x:col min="13" max="13" width="50" hidden="0" customWidth="1"/>
    <x:col min="14" max="14" width="18" hidden="0" customWidth="1"/>
    <x:col min="16" max="16" width="20" hidden="0" customWidth="1"/>
    <x:col min="17" max="17" width="14" hidden="0" customWidth="1"/>
  </x:cols>
  <x:sheetData>
    <x:row r="1">
      <x:c r="A1" s="5" t="str">
        <x:v>2027 카미노 프란세스 · 일차별 Google Maps 자전거 주행 링크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P2" s="75" t="str">
        <x:v>총 거리 (km)</x:v>
      </x:c>
      <x:c r="Q2" s="81" t="n">
        <x:v>808.5</x:v>
      </x:c>
    </x:row>
    <x:row r="3">
      <x:c r="A3" s="14" t="str">
        <x:v>링크는 시작지·중간 경유지·도착지를 순서대로 연결합니다. Google Maps가 일부 비포장 카미노 구간을 지원하지 않으면 도로 우회 경로가 표시될 수 있습니다.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P3" s="75" t="str">
        <x:v>총 획득고도 (m)</x:v>
      </x:c>
      <x:c r="Q3" s="83" t="n">
        <x:v>8350</x:v>
      </x:c>
    </x:row>
    <x:row r="4">
      <x:c r="P4" s="75" t="str">
        <x:v>라이딩 일수</x:v>
      </x:c>
      <x:c r="Q4" s="83" t="n">
        <x:v>12</x:v>
      </x:c>
    </x:row>
    <x:row r="5">
      <x:c r="A5" s="24" t="str">
        <x:v>일차</x:v>
      </x:c>
      <x:c r="B5" s="24" t="str">
        <x:v>시작지(한글)</x:v>
      </x:c>
      <x:c r="C5" s="24" t="str">
        <x:v>시작지(스페인어)</x:v>
      </x:c>
      <x:c r="D5" s="24" t="str">
        <x:v>중간 구간 1</x:v>
      </x:c>
      <x:c r="E5" s="24" t="str">
        <x:v>중간 구간 2</x:v>
      </x:c>
      <x:c r="F5" s="24" t="str">
        <x:v>중간 구간 3</x:v>
      </x:c>
      <x:c r="G5" s="24" t="str">
        <x:v>도착지(한글)</x:v>
      </x:c>
      <x:c r="H5" s="24" t="str">
        <x:v>도착지(스페인어)</x:v>
      </x:c>
      <x:c r="I5" s="24" t="str">
        <x:v>거리 (km)</x:v>
      </x:c>
      <x:c r="J5" s="24" t="str">
        <x:v>획득고도 (m)</x:v>
      </x:c>
      <x:c r="K5" s="24" t="str">
        <x:v>누적거리 (km)</x:v>
      </x:c>
      <x:c r="L5" s="24" t="str">
        <x:v>Google Maps 링크</x:v>
      </x:c>
      <x:c r="M5" s="24" t="str">
        <x:v>전체 URL</x:v>
      </x:c>
      <x:c r="N5" s="24" t="str">
        <x:v>상태</x:v>
      </x:c>
      <x:c r="P5" s="75" t="str">
        <x:v>휴식일</x:v>
      </x:c>
      <x:c r="Q5" s="83" t="n">
        <x:v>1</x:v>
      </x:c>
    </x:row>
    <x:row r="6">
      <x:c r="A6" s="39" t="n">
        <x:v>1</x:v>
      </x:c>
      <x:c r="B6" s="32" t="str">
        <x:v>생장</x:v>
      </x:c>
      <x:c r="C6" s="32" t="str">
        <x:v>Saint-Jean-Pied-de-Port</x:v>
      </x:c>
      <x:c r="D6" s="32" t="str">
        <x:v>오리손 (Orisson)</x:v>
      </x:c>
      <x:c r="E6" s="32" t="str">
        <x:v>론세스바예스 (Roncesvalles)</x:v>
      </x:c>
      <x:c r="F6" s="32" t="str"/>
      <x:c r="G6" s="32" t="str">
        <x:v>수비리</x:v>
      </x:c>
      <x:c r="H6" s="32" t="str">
        <x:v>Zubiri</x:v>
      </x:c>
      <x:c r="I6" s="63" t="n">
        <x:v>48</x:v>
      </x:c>
      <x:c r="J6" s="65" t="n">
        <x:v>1350</x:v>
      </x:c>
      <x:c r="K6" s="63" t="n">
        <x:v>48</x:v>
      </x:c>
      <x:c r="L6" s="68" t="e">
        <x:f>HYPERLINK("https://www.google.com/maps/dir/?api=1&amp;origin=Saint-Jean-Pied-de-Port%2C%20France&amp;destination=Zubiri%2C%20Spain&amp;travelmode=bicycling&amp;waypoints=Orisson%2C%20France|Roncesvalles%2C%20Spain","Google Maps 자전거 길찾기")</x:f>
      </x:c>
      <x:c r="M6" s="72" t="str">
        <x:v>https://www.google.com/maps/dir/?api=1&amp;origin=Saint-Jean-Pied-de-Port%2C%20France&amp;destination=Zubiri%2C%20Spain&amp;travelmode=bicycling&amp;waypoints=Orisson%2C%20France|Roncesvalles%2C%20Spain</x:v>
      </x:c>
      <x:c r="N6" s="32" t="str">
        <x:v>링크 생성</x:v>
      </x:c>
    </x:row>
    <x:row r="7">
      <x:c r="A7" s="41" t="n">
        <x:v>2</x:v>
      </x:c>
      <x:c r="B7" s="32" t="str">
        <x:v>수비리</x:v>
      </x:c>
      <x:c r="C7" s="32" t="str">
        <x:v>Zubiri</x:v>
      </x:c>
      <x:c r="D7" s="32" t="str">
        <x:v>팜풀로나 (Pamplona)</x:v>
      </x:c>
      <x:c r="E7" s="32" t="str">
        <x:v>푸엔테 라 레이나 (Puente la Reina)</x:v>
      </x:c>
      <x:c r="F7" s="32" t="str"/>
      <x:c r="G7" s="32" t="str">
        <x:v>에스떼야</x:v>
      </x:c>
      <x:c r="H7" s="32" t="str">
        <x:v>Estella</x:v>
      </x:c>
      <x:c r="I7" s="63" t="n">
        <x:v>65.9</x:v>
      </x:c>
      <x:c r="J7" s="65" t="n">
        <x:v>800</x:v>
      </x:c>
      <x:c r="K7" s="63" t="n">
        <x:v>113.9</x:v>
      </x:c>
      <x:c r="L7" s="68" t="e">
        <x:f>HYPERLINK("https://www.google.com/maps/dir/?api=1&amp;origin=Zubiri%2C%20Spain&amp;destination=Estella%2C%20Spain&amp;travelmode=bicycling&amp;waypoints=Pamplona%2C%20Spain|Puente%20la%20Reina%2C%20Spain","Google Maps 자전거 길찾기")</x:f>
      </x:c>
      <x:c r="M7" s="72" t="str">
        <x:v>https://www.google.com/maps/dir/?api=1&amp;origin=Zubiri%2C%20Spain&amp;destination=Estella%2C%20Spain&amp;travelmode=bicycling&amp;waypoints=Pamplona%2C%20Spain|Puente%20la%20Reina%2C%20Spain</x:v>
      </x:c>
      <x:c r="N7" s="32" t="str">
        <x:v>링크 생성</x:v>
      </x:c>
    </x:row>
    <x:row r="8">
      <x:c r="A8" s="43" t="n">
        <x:v>3</x:v>
      </x:c>
      <x:c r="B8" s="32" t="str">
        <x:v>에스떼야</x:v>
      </x:c>
      <x:c r="C8" s="32" t="str">
        <x:v>Estella</x:v>
      </x:c>
      <x:c r="D8" s="32" t="str">
        <x:v>로스 아르꼬스 (Los Arcos)</x:v>
      </x:c>
      <x:c r="E8" s="32" t="str">
        <x:v>로그로뇨 (Logroño)</x:v>
      </x:c>
      <x:c r="F8" s="32" t="str"/>
      <x:c r="G8" s="32" t="str">
        <x:v>나베레테</x:v>
      </x:c>
      <x:c r="H8" s="32" t="str">
        <x:v>Navarrete</x:v>
      </x:c>
      <x:c r="I8" s="63" t="n">
        <x:v>61.3</x:v>
      </x:c>
      <x:c r="J8" s="65" t="n">
        <x:v>700</x:v>
      </x:c>
      <x:c r="K8" s="63" t="n">
        <x:v>175.2</x:v>
      </x:c>
      <x:c r="L8" s="68" t="e">
        <x:f>HYPERLINK("https://www.google.com/maps/dir/?api=1&amp;origin=Estella%2C%20Spain&amp;destination=Navarrete%2C%20Spain&amp;travelmode=bicycling&amp;waypoints=Los%20Arcos%2C%20Spain|Logro%C3%B1o%2C%20Spain","Google Maps 자전거 길찾기")</x:f>
      </x:c>
      <x:c r="M8" s="72" t="str">
        <x:v>https://www.google.com/maps/dir/?api=1&amp;origin=Estella%2C%20Spain&amp;destination=Navarrete%2C%20Spain&amp;travelmode=bicycling&amp;waypoints=Los%20Arcos%2C%20Spain|Logro%C3%B1o%2C%20Spain</x:v>
      </x:c>
      <x:c r="N8" s="32" t="str">
        <x:v>링크 생성</x:v>
      </x:c>
    </x:row>
    <x:row r="9">
      <x:c r="A9" s="45" t="n">
        <x:v>4</x:v>
      </x:c>
      <x:c r="B9" s="32" t="str">
        <x:v>나베레테</x:v>
      </x:c>
      <x:c r="C9" s="32" t="str">
        <x:v>Navarrete</x:v>
      </x:c>
      <x:c r="D9" s="32" t="str">
        <x:v>나헤라 (Nájera)</x:v>
      </x:c>
      <x:c r="E9" s="32" t="str">
        <x:v>산토 도밍고 데 라 깔사다 (Santo Domingo de la Calzada)</x:v>
      </x:c>
      <x:c r="F9" s="32" t="str"/>
      <x:c r="G9" s="32" t="str">
        <x:v>벨로라도</x:v>
      </x:c>
      <x:c r="H9" s="32" t="str">
        <x:v>Belorado</x:v>
      </x:c>
      <x:c r="I9" s="63" t="n">
        <x:v>59.3</x:v>
      </x:c>
      <x:c r="J9" s="65" t="n">
        <x:v>850</x:v>
      </x:c>
      <x:c r="K9" s="63" t="n">
        <x:v>234.5</x:v>
      </x:c>
      <x:c r="L9" s="68" t="e">
        <x:f>HYPERLINK("https://www.google.com/maps/dir/?api=1&amp;origin=Navarrete%2C%20Spain&amp;destination=Belorado%2C%20Spain&amp;travelmode=bicycling&amp;waypoints=N%C3%A1jera%2C%20Spain|Santo%20Domingo%20de%20la%20Calzada%2C%20Spain","Google Maps 자전거 길찾기")</x:f>
      </x:c>
      <x:c r="M9" s="72" t="str">
        <x:v>https://www.google.com/maps/dir/?api=1&amp;origin=Navarrete%2C%20Spain&amp;destination=Belorado%2C%20Spain&amp;travelmode=bicycling&amp;waypoints=N%C3%A1jera%2C%20Spain|Santo%20Domingo%20de%20la%20Calzada%2C%20Spain</x:v>
      </x:c>
      <x:c r="N9" s="32" t="str">
        <x:v>링크 생성</x:v>
      </x:c>
    </x:row>
    <x:row r="10">
      <x:c r="A10" s="47" t="n">
        <x:v>5</x:v>
      </x:c>
      <x:c r="B10" s="32" t="str">
        <x:v>벨로라도</x:v>
      </x:c>
      <x:c r="C10" s="32" t="str">
        <x:v>Belorado</x:v>
      </x:c>
      <x:c r="D10" s="32" t="str">
        <x:v>산 후안 데 오르떼가 (San Juan de Ortega)</x:v>
      </x:c>
      <x:c r="E10" s="32" t="str">
        <x:v>부르고스 (Burgos)</x:v>
      </x:c>
      <x:c r="F10" s="32" t="str">
        <x:v>오르니요스 델 까미노 (Hornillos del Camino)</x:v>
      </x:c>
      <x:c r="G10" s="32" t="str">
        <x:v>키스트로헤리스</x:v>
      </x:c>
      <x:c r="H10" s="32" t="str">
        <x:v>Castrojeriz</x:v>
      </x:c>
      <x:c r="I10" s="63" t="n">
        <x:v>96.5</x:v>
      </x:c>
      <x:c r="J10" s="65" t="n">
        <x:v>350</x:v>
      </x:c>
      <x:c r="K10" s="63" t="n">
        <x:v>331</x:v>
      </x:c>
      <x:c r="L10" s="68" t="e">
        <x:f>HYPERLINK("https://www.google.com/maps/dir/?api=1&amp;origin=Belorado%2C%20Spain&amp;destination=Castrojeriz%2C%20Spain&amp;travelmode=bicycling&amp;waypoints=San%20Juan%20de%20Ortega%2C%20Spain|Burgos%2C%20Spain|Hornillos%20del%20Camino%2C%20Spain","Google Maps 자전거 길찾기")</x:f>
      </x:c>
      <x:c r="M10" s="72" t="str">
        <x:v>https://www.google.com/maps/dir/?api=1&amp;origin=Belorado%2C%20Spain&amp;destination=Castrojeriz%2C%20Spain&amp;travelmode=bicycling&amp;waypoints=San%20Juan%20de%20Ortega%2C%20Spain|Burgos%2C%20Spain|Hornillos%20del%20Camino%2C%20Spain</x:v>
      </x:c>
      <x:c r="N10" s="32" t="str">
        <x:v>링크 생성</x:v>
      </x:c>
    </x:row>
    <x:row r="11">
      <x:c r="A11" s="49" t="n">
        <x:v>6</x:v>
      </x:c>
      <x:c r="B11" s="32" t="str">
        <x:v>키스트로헤리스</x:v>
      </x:c>
      <x:c r="C11" s="32" t="str">
        <x:v>Castrojeriz</x:v>
      </x:c>
      <x:c r="D11" s="32" t="str">
        <x:v>프로미스따 (Frómista)</x:v>
      </x:c>
      <x:c r="E11" s="32" t="str">
        <x:v>까리온 데 로스 꼰데스 (Carrión de los Condes)</x:v>
      </x:c>
      <x:c r="F11" s="32" t="str">
        <x:v>깔사디야 데 라 쿠에사 (Calzadilla de la Cueza)</x:v>
      </x:c>
      <x:c r="G11" s="32" t="str">
        <x:v>사아군</x:v>
      </x:c>
      <x:c r="H11" s="32" t="str">
        <x:v>Sahagún</x:v>
      </x:c>
      <x:c r="I11" s="63" t="n">
        <x:v>83.5</x:v>
      </x:c>
      <x:c r="J11" s="65" t="n">
        <x:v>450</x:v>
      </x:c>
      <x:c r="K11" s="63" t="n">
        <x:v>414.5</x:v>
      </x:c>
      <x:c r="L11" s="68" t="e">
        <x:f>HYPERLINK("https://www.google.com/maps/dir/?api=1&amp;origin=Castrojeriz%2C%20Spain&amp;destination=Sahag%C3%BAn%2C%20Spain&amp;travelmode=bicycling&amp;waypoints=Fr%C3%B3mista%2C%20Spain|Carri%C3%B3n%20de%20los%20Condes%2C%20Spain|Calzadilla%20de%20la%20Cueza%2C%20Spain","Google Maps 자전거 길찾기")</x:f>
      </x:c>
      <x:c r="M11" s="72" t="str">
        <x:v>https://www.google.com/maps/dir/?api=1&amp;origin=Castrojeriz%2C%20Spain&amp;destination=Sahag%C3%BAn%2C%20Spain&amp;travelmode=bicycling&amp;waypoints=Fr%C3%B3mista%2C%20Spain|Carri%C3%B3n%20de%20los%20Condes%2C%20Spain|Calzadilla%20de%20la%20Cueza%2C%20Spain</x:v>
      </x:c>
      <x:c r="N11" s="32" t="str">
        <x:v>링크 생성</x:v>
      </x:c>
    </x:row>
    <x:row r="12">
      <x:c r="A12" s="51" t="n">
        <x:v>7</x:v>
      </x:c>
      <x:c r="B12" s="32" t="str">
        <x:v>사아군</x:v>
      </x:c>
      <x:c r="C12" s="32" t="str">
        <x:v>Sahagún</x:v>
      </x:c>
      <x:c r="D12" s="32" t="str">
        <x:v>엘 부르고 라네로 (El Burgo Ranero)</x:v>
      </x:c>
      <x:c r="E12" s="32" t="str">
        <x:v>만시야 데 라스 물라스 (Mansilla de las Mulas)</x:v>
      </x:c>
      <x:c r="F12" s="32" t="str"/>
      <x:c r="G12" s="32" t="str">
        <x:v>레온</x:v>
      </x:c>
      <x:c r="H12" s="32" t="str">
        <x:v>León</x:v>
      </x:c>
      <x:c r="I12" s="63" t="n">
        <x:v>68</x:v>
      </x:c>
      <x:c r="J12" s="65" t="n">
        <x:v>250</x:v>
      </x:c>
      <x:c r="K12" s="63" t="n">
        <x:v>482.5</x:v>
      </x:c>
      <x:c r="L12" s="68" t="e">
        <x:f>HYPERLINK("https://www.google.com/maps/dir/?api=1&amp;origin=Sahag%C3%BAn%2C%20Spain&amp;destination=Le%C3%B3n%2C%20Spain&amp;travelmode=bicycling&amp;waypoints=El%20Burgo%20Ranero%2C%20Spain|Mansilla%20de%20las%20Mulas%2C%20Spain","Google Maps 자전거 길찾기")</x:f>
      </x:c>
      <x:c r="M12" s="72" t="str">
        <x:v>https://www.google.com/maps/dir/?api=1&amp;origin=Sahag%C3%BAn%2C%20Spain&amp;destination=Le%C3%B3n%2C%20Spain&amp;travelmode=bicycling&amp;waypoints=El%20Burgo%20Ranero%2C%20Spain|Mansilla%20de%20las%20Mulas%2C%20Spain</x:v>
      </x:c>
      <x:c r="N12" s="32" t="str">
        <x:v>링크 생성</x:v>
      </x:c>
    </x:row>
    <x:row r="13">
      <x:c r="A13" s="53" t="n">
        <x:v>8</x:v>
      </x:c>
      <x:c r="B13" s="32" t="str">
        <x:v>레온</x:v>
      </x:c>
      <x:c r="C13" s="32" t="str">
        <x:v>León</x:v>
      </x:c>
      <x:c r="D13" s="32" t="str"/>
      <x:c r="E13" s="32" t="str"/>
      <x:c r="F13" s="32" t="str"/>
      <x:c r="G13" s="32" t="str">
        <x:v>레온</x:v>
      </x:c>
      <x:c r="H13" s="32" t="str">
        <x:v>León</x:v>
      </x:c>
      <x:c r="I13" s="63" t="n">
        <x:v>0</x:v>
      </x:c>
      <x:c r="J13" s="65" t="n">
        <x:v>0</x:v>
      </x:c>
      <x:c r="K13" s="63" t="n">
        <x:v>482.5</x:v>
      </x:c>
      <x:c r="L13" s="68" t="str">
        <x:v>휴식일</x:v>
      </x:c>
      <x:c r="M13" s="72" t="str"/>
      <x:c r="N13" s="32" t="str">
        <x:v>자전거 주행 없음</x:v>
      </x:c>
    </x:row>
    <x:row r="14">
      <x:c r="A14" s="55" t="n">
        <x:v>9</x:v>
      </x:c>
      <x:c r="B14" s="32" t="str">
        <x:v>레온</x:v>
      </x:c>
      <x:c r="C14" s="32" t="str">
        <x:v>León</x:v>
      </x:c>
      <x:c r="D14" s="32" t="str">
        <x:v>산 마르틴 델 까미노 (San Martín del Camino)</x:v>
      </x:c>
      <x:c r="E14" s="32" t="str">
        <x:v>아스토르가 (Astorga)</x:v>
      </x:c>
      <x:c r="F14" s="32" t="str"/>
      <x:c r="G14" s="32" t="str">
        <x:v>라바날 델 까미노</x:v>
      </x:c>
      <x:c r="H14" s="32" t="str">
        <x:v>Rabanal del Camino</x:v>
      </x:c>
      <x:c r="I14" s="63" t="n">
        <x:v>74</x:v>
      </x:c>
      <x:c r="J14" s="65" t="n">
        <x:v>250</x:v>
      </x:c>
      <x:c r="K14" s="63" t="n">
        <x:v>556.5</x:v>
      </x:c>
      <x:c r="L14" s="68" t="e">
        <x:f>HYPERLINK("https://www.google.com/maps/dir/?api=1&amp;origin=Le%C3%B3n%2C%20Spain&amp;destination=Rabanal%20del%20Camino%2C%20Spain&amp;travelmode=bicycling&amp;waypoints=San%20Mart%C3%ADn%20del%20Camino%2C%20Spain|Astorga%2C%20Spain","Google Maps 자전거 길찾기")</x:f>
      </x:c>
      <x:c r="M14" s="72" t="str">
        <x:v>https://www.google.com/maps/dir/?api=1&amp;origin=Le%C3%B3n%2C%20Spain&amp;destination=Rabanal%20del%20Camino%2C%20Spain&amp;travelmode=bicycling&amp;waypoints=San%20Mart%C3%ADn%20del%20Camino%2C%20Spain|Astorga%2C%20Spain</x:v>
      </x:c>
      <x:c r="N14" s="32" t="str">
        <x:v>링크 생성</x:v>
      </x:c>
    </x:row>
    <x:row r="15">
      <x:c r="A15" s="57" t="n">
        <x:v>10</x:v>
      </x:c>
      <x:c r="B15" s="32" t="str">
        <x:v>라바날 델 까미노</x:v>
      </x:c>
      <x:c r="C15" s="32" t="str">
        <x:v>Rabanal del Camino</x:v>
      </x:c>
      <x:c r="D15" s="32" t="str">
        <x:v>몰리나세까 (Molinaseca)</x:v>
      </x:c>
      <x:c r="E15" s="32" t="str">
        <x:v>폰페라다 (Ponferrada)</x:v>
      </x:c>
      <x:c r="F15" s="32" t="str">
        <x:v>까까벨로스 (Cacabelos)</x:v>
      </x:c>
      <x:c r="G15" s="32" t="str">
        <x:v>베가 데 발까르세</x:v>
      </x:c>
      <x:c r="H15" s="32" t="str">
        <x:v>Vega de Valcarce</x:v>
      </x:c>
      <x:c r="I15" s="63" t="n">
        <x:v>75.5</x:v>
      </x:c>
      <x:c r="J15" s="65" t="n">
        <x:v>1050</x:v>
      </x:c>
      <x:c r="K15" s="63" t="n">
        <x:v>632</x:v>
      </x:c>
      <x:c r="L15" s="68" t="e">
        <x:f>HYPERLINK("https://www.google.com/maps/dir/?api=1&amp;origin=Rabanal%20del%20Camino%2C%20Spain&amp;destination=Vega%20de%20Valcarce%2C%20Spain&amp;travelmode=bicycling&amp;waypoints=Molinaseca%2C%20Spain|Ponferrada%2C%20Spain|Cacabelos%2C%20Spain","Google Maps 자전거 길찾기")</x:f>
      </x:c>
      <x:c r="M15" s="72" t="str">
        <x:v>https://www.google.com/maps/dir/?api=1&amp;origin=Rabanal%20del%20Camino%2C%20Spain&amp;destination=Vega%20de%20Valcarce%2C%20Spain&amp;travelmode=bicycling&amp;waypoints=Molinaseca%2C%20Spain|Ponferrada%2C%20Spain|Cacabelos%2C%20Spain</x:v>
      </x:c>
      <x:c r="N15" s="32" t="str">
        <x:v>링크 생성</x:v>
      </x:c>
    </x:row>
    <x:row r="16">
      <x:c r="A16" s="59" t="n">
        <x:v>11</x:v>
      </x:c>
      <x:c r="B16" s="32" t="str">
        <x:v>베가 데 발까르세</x:v>
      </x:c>
      <x:c r="C16" s="32" t="str">
        <x:v>Vega de Valcarce</x:v>
      </x:c>
      <x:c r="D16" s="32" t="str">
        <x:v>오 세브레이로 (O Cebreiro)</x:v>
      </x:c>
      <x:c r="E16" s="32" t="str">
        <x:v>뜨리아까스떼야 (Triacastela)</x:v>
      </x:c>
      <x:c r="F16" s="32" t="str"/>
      <x:c r="G16" s="32" t="str">
        <x:v>사리아</x:v>
      </x:c>
      <x:c r="H16" s="32" t="str">
        <x:v>Sarria</x:v>
      </x:c>
      <x:c r="I16" s="63" t="n">
        <x:v>60</x:v>
      </x:c>
      <x:c r="J16" s="65" t="n">
        <x:v>1250</x:v>
      </x:c>
      <x:c r="K16" s="63" t="n">
        <x:v>692</x:v>
      </x:c>
      <x:c r="L16" s="68" t="e">
        <x:f>HYPERLINK("https://www.google.com/maps/dir/?api=1&amp;origin=Vega%20de%20Valcarce%2C%20Spain&amp;destination=Sarria%2C%20Spain&amp;travelmode=bicycling&amp;waypoints=O%20Cebreiro%2C%20Spain|Triacastela%2C%20Spain","Google Maps 자전거 길찾기")</x:f>
      </x:c>
      <x:c r="M16" s="72" t="str">
        <x:v>https://www.google.com/maps/dir/?api=1&amp;origin=Vega%20de%20Valcarce%2C%20Spain&amp;destination=Sarria%2C%20Spain&amp;travelmode=bicycling&amp;waypoints=O%20Cebreiro%2C%20Spain|Triacastela%2C%20Spain</x:v>
      </x:c>
      <x:c r="N16" s="32" t="str">
        <x:v>링크 생성</x:v>
      </x:c>
    </x:row>
    <x:row r="17">
      <x:c r="A17" s="61" t="n">
        <x:v>12</x:v>
      </x:c>
      <x:c r="B17" s="32" t="str">
        <x:v>사리아</x:v>
      </x:c>
      <x:c r="C17" s="32" t="str">
        <x:v>Sarria</x:v>
      </x:c>
      <x:c r="D17" s="32" t="str">
        <x:v>뽀르또마린 (Portomarín)</x:v>
      </x:c>
      <x:c r="E17" s="32" t="str">
        <x:v>빨라스 데 레이 (Palas de Rei)</x:v>
      </x:c>
      <x:c r="F17" s="32" t="str">
        <x:v>메리데 (Melide)</x:v>
      </x:c>
      <x:c r="G17" s="32" t="str">
        <x:v>아르수아</x:v>
      </x:c>
      <x:c r="H17" s="32" t="str">
        <x:v>Arzúa</x:v>
      </x:c>
      <x:c r="I17" s="63" t="n">
        <x:v>76.5</x:v>
      </x:c>
      <x:c r="J17" s="65" t="n">
        <x:v>900</x:v>
      </x:c>
      <x:c r="K17" s="63" t="n">
        <x:v>768.5</x:v>
      </x:c>
      <x:c r="L17" s="68" t="e">
        <x:f>HYPERLINK("https://www.google.com/maps/dir/?api=1&amp;origin=Sarria%2C%20Spain&amp;destination=Arz%C3%BAa%2C%20Spain&amp;travelmode=bicycling&amp;waypoints=Portomar%C3%ADn%2C%20Spain|Palas%20de%20Rei%2C%20Spain|Melide%2C%20Spain","Google Maps 자전거 길찾기")</x:f>
      </x:c>
      <x:c r="M17" s="72" t="str">
        <x:v>https://www.google.com/maps/dir/?api=1&amp;origin=Sarria%2C%20Spain&amp;destination=Arz%C3%BAa%2C%20Spain&amp;travelmode=bicycling&amp;waypoints=Portomar%C3%ADn%2C%20Spain|Palas%20de%20Rei%2C%20Spain|Melide%2C%20Spain</x:v>
      </x:c>
      <x:c r="N17" s="32" t="str">
        <x:v>링크 생성</x:v>
      </x:c>
    </x:row>
    <x:row r="18">
      <x:c r="A18" s="39" t="n">
        <x:v>13</x:v>
      </x:c>
      <x:c r="B18" s="32" t="str">
        <x:v>아르수아</x:v>
      </x:c>
      <x:c r="C18" s="32" t="str">
        <x:v>Arzúa</x:v>
      </x:c>
      <x:c r="D18" s="32" t="str">
        <x:v>뻬드로우소 (O Pedrouzo)</x:v>
      </x:c>
      <x:c r="E18" s="32" t="str"/>
      <x:c r="F18" s="32" t="str"/>
      <x:c r="G18" s="32" t="str">
        <x:v>산티아고 대성당</x:v>
      </x:c>
      <x:c r="H18" s="32" t="str">
        <x:v>Santiago de Compostela</x:v>
      </x:c>
      <x:c r="I18" s="63" t="n">
        <x:v>40</x:v>
      </x:c>
      <x:c r="J18" s="65" t="n">
        <x:v>300</x:v>
      </x:c>
      <x:c r="K18" s="63" t="n">
        <x:v>808.5</x:v>
      </x:c>
      <x:c r="L18" s="68" t="e">
        <x:f>HYPERLINK("https://www.google.com/maps/dir/?api=1&amp;origin=Arz%C3%BAa%2C%20Spain&amp;destination=Santiago%20de%20Compostela%2C%20Spain&amp;travelmode=bicycling&amp;waypoints=O%20Pedrouzo%2C%20Spain","Google Maps 자전거 길찾기")</x:f>
      </x:c>
      <x:c r="M18" s="72" t="str">
        <x:v>https://www.google.com/maps/dir/?api=1&amp;origin=Arz%C3%BAa%2C%20Spain&amp;destination=Santiago%20de%20Compostela%2C%20Spain&amp;travelmode=bicycling&amp;waypoints=O%20Pedrouzo%2C%20Spain</x:v>
      </x:c>
      <x:c r="N18" s="32" t="str">
        <x:v>링크 생성</x:v>
      </x:c>
    </x:row>
  </x:sheetData>
  <x:mergeCells>
    <x:mergeCell ref="A1:N2"/>
    <x:mergeCell ref="A3:N3"/>
  </x:mergeCells>
  <x:conditionalFormatting sqref="N6:N18">
    <x:cfRule type="expression" dxfId="0" priority="1">
      <x:formula>N6="자전거 주행 없음"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a6a1f7a8b944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3" hidden="0" customWidth="1"/>
    <x:col min="4" max="4" width="22" hidden="0" customWidth="1"/>
    <x:col min="5" max="5" width="18" hidden="0" customWidth="1"/>
  </x:cols>
  <x:sheetData>
    <x:row r="1">
      <x:c r="A1" s="87" t="str">
        <x:v>카미노 프란세스 · 빠른 Google Maps 링크</x:v>
      </x:c>
      <x:c r="B1" s="87"/>
      <x:c r="C1" s="87"/>
      <x:c r="D1" s="87"/>
      <x:c r="E1" s="87"/>
    </x:row>
    <x:row r="2">
      <x:c r="A2" s="87"/>
      <x:c r="B2" s="87"/>
      <x:c r="C2" s="87"/>
      <x:c r="D2" s="87"/>
      <x:c r="E2" s="87"/>
    </x:row>
    <x:row r="4">
      <x:c r="A4" s="91" t="str">
        <x:v>일차</x:v>
      </x:c>
      <x:c r="B4" s="91" t="str">
        <x:v>출발 → 도착</x:v>
      </x:c>
      <x:c r="C4" s="91" t="str">
        <x:v>거리 (km)</x:v>
      </x:c>
      <x:c r="D4" s="91" t="str">
        <x:v>Google Maps</x:v>
      </x:c>
      <x:c r="E4" s="91" t="str">
        <x:v>비고</x:v>
      </x:c>
    </x:row>
    <x:row r="5">
      <x:c r="A5" s="96" t="n">
        <x:v>1</x:v>
      </x:c>
      <x:c r="B5" s="93" t="str">
        <x:v>생장 → 수비리</x:v>
      </x:c>
      <x:c r="C5" s="99" t="n">
        <x:v>48</x:v>
      </x:c>
      <x:c r="D5" s="102" t="e">
        <x:f>HYPERLINK("https://www.google.com/maps/dir/?api=1&amp;origin=Saint-Jean-Pied-de-Port%2C%20France&amp;destination=Zubiri%2C%20Spain&amp;travelmode=bicycling&amp;waypoints=Orisson%2C%20France|Roncesvalles%2C%20Spain","Google Maps 열기")</x:f>
      </x:c>
      <x:c r="E5" s="93" t="str"/>
    </x:row>
    <x:row r="6">
      <x:c r="A6" s="96" t="n">
        <x:v>2</x:v>
      </x:c>
      <x:c r="B6" s="93" t="str">
        <x:v>수비리 → 에스떼야</x:v>
      </x:c>
      <x:c r="C6" s="99" t="n">
        <x:v>65.9</x:v>
      </x:c>
      <x:c r="D6" s="102" t="e">
        <x:f>HYPERLINK("https://www.google.com/maps/dir/?api=1&amp;origin=Zubiri%2C%20Spain&amp;destination=Estella%2C%20Spain&amp;travelmode=bicycling&amp;waypoints=Pamplona%2C%20Spain|Puente%20la%20Reina%2C%20Spain","Google Maps 열기")</x:f>
      </x:c>
      <x:c r="E6" s="93" t="str"/>
    </x:row>
    <x:row r="7">
      <x:c r="A7" s="96" t="n">
        <x:v>3</x:v>
      </x:c>
      <x:c r="B7" s="93" t="str">
        <x:v>에스떼야 → 나베레테</x:v>
      </x:c>
      <x:c r="C7" s="99" t="n">
        <x:v>61.3</x:v>
      </x:c>
      <x:c r="D7" s="102" t="e">
        <x:f>HYPERLINK("https://www.google.com/maps/dir/?api=1&amp;origin=Estella%2C%20Spain&amp;destination=Navarrete%2C%20Spain&amp;travelmode=bicycling&amp;waypoints=Los%20Arcos%2C%20Spain|Logro%C3%B1o%2C%20Spain","Google Maps 열기")</x:f>
      </x:c>
      <x:c r="E7" s="93" t="str"/>
    </x:row>
    <x:row r="8">
      <x:c r="A8" s="96" t="n">
        <x:v>4</x:v>
      </x:c>
      <x:c r="B8" s="93" t="str">
        <x:v>나베레테 → 벨로라도</x:v>
      </x:c>
      <x:c r="C8" s="99" t="n">
        <x:v>59.3</x:v>
      </x:c>
      <x:c r="D8" s="102" t="e">
        <x:f>HYPERLINK("https://www.google.com/maps/dir/?api=1&amp;origin=Navarrete%2C%20Spain&amp;destination=Belorado%2C%20Spain&amp;travelmode=bicycling&amp;waypoints=N%C3%A1jera%2C%20Spain|Santo%20Domingo%20de%20la%20Calzada%2C%20Spain","Google Maps 열기")</x:f>
      </x:c>
      <x:c r="E8" s="93" t="str"/>
    </x:row>
    <x:row r="9">
      <x:c r="A9" s="96" t="n">
        <x:v>5</x:v>
      </x:c>
      <x:c r="B9" s="93" t="str">
        <x:v>벨로라도 → 키스트로헤리스</x:v>
      </x:c>
      <x:c r="C9" s="99" t="n">
        <x:v>96.5</x:v>
      </x:c>
      <x:c r="D9" s="102" t="e">
        <x:f>HYPERLINK("https://www.google.com/maps/dir/?api=1&amp;origin=Belorado%2C%20Spain&amp;destination=Castrojeriz%2C%20Spain&amp;travelmode=bicycling&amp;waypoints=San%20Juan%20de%20Ortega%2C%20Spain|Burgos%2C%20Spain|Hornillos%20del%20Camino%2C%20Spain","Google Maps 열기")</x:f>
      </x:c>
      <x:c r="E9" s="93" t="str"/>
    </x:row>
    <x:row r="10">
      <x:c r="A10" s="96" t="n">
        <x:v>6</x:v>
      </x:c>
      <x:c r="B10" s="93" t="str">
        <x:v>키스트로헤리스 → 사아군</x:v>
      </x:c>
      <x:c r="C10" s="99" t="n">
        <x:v>83.5</x:v>
      </x:c>
      <x:c r="D10" s="102" t="e">
        <x:f>HYPERLINK("https://www.google.com/maps/dir/?api=1&amp;origin=Castrojeriz%2C%20Spain&amp;destination=Sahag%C3%BAn%2C%20Spain&amp;travelmode=bicycling&amp;waypoints=Fr%C3%B3mista%2C%20Spain|Carri%C3%B3n%20de%20los%20Condes%2C%20Spain|Calzadilla%20de%20la%20Cueza%2C%20Spain","Google Maps 열기")</x:f>
      </x:c>
      <x:c r="E10" s="93" t="str"/>
    </x:row>
    <x:row r="11">
      <x:c r="A11" s="96" t="n">
        <x:v>7</x:v>
      </x:c>
      <x:c r="B11" s="93" t="str">
        <x:v>사아군 → 레온</x:v>
      </x:c>
      <x:c r="C11" s="99" t="n">
        <x:v>68</x:v>
      </x:c>
      <x:c r="D11" s="102" t="e">
        <x:f>HYPERLINK("https://www.google.com/maps/dir/?api=1&amp;origin=Sahag%C3%BAn%2C%20Spain&amp;destination=Le%C3%B3n%2C%20Spain&amp;travelmode=bicycling&amp;waypoints=El%20Burgo%20Ranero%2C%20Spain|Mansilla%20de%20las%20Mulas%2C%20Spain","Google Maps 열기")</x:f>
      </x:c>
      <x:c r="E11" s="93" t="str"/>
    </x:row>
    <x:row r="12">
      <x:c r="A12" s="96" t="n">
        <x:v>8</x:v>
      </x:c>
      <x:c r="B12" s="93" t="str">
        <x:v>레온 → 레온</x:v>
      </x:c>
      <x:c r="C12" s="99" t="n">
        <x:v>0</x:v>
      </x:c>
      <x:c r="D12" s="102" t="str">
        <x:v>휴식일</x:v>
      </x:c>
      <x:c r="E12" s="93" t="str">
        <x:v>레온 휴식</x:v>
      </x:c>
    </x:row>
    <x:row r="13">
      <x:c r="A13" s="96" t="n">
        <x:v>9</x:v>
      </x:c>
      <x:c r="B13" s="93" t="str">
        <x:v>레온 → 라바날 델 까미노</x:v>
      </x:c>
      <x:c r="C13" s="99" t="n">
        <x:v>74</x:v>
      </x:c>
      <x:c r="D13" s="102" t="e">
        <x:f>HYPERLINK("https://www.google.com/maps/dir/?api=1&amp;origin=Le%C3%B3n%2C%20Spain&amp;destination=Rabanal%20del%20Camino%2C%20Spain&amp;travelmode=bicycling&amp;waypoints=San%20Mart%C3%ADn%20del%20Camino%2C%20Spain|Astorga%2C%20Spain","Google Maps 열기")</x:f>
      </x:c>
      <x:c r="E13" s="93" t="str"/>
    </x:row>
    <x:row r="14">
      <x:c r="A14" s="96" t="n">
        <x:v>10</x:v>
      </x:c>
      <x:c r="B14" s="93" t="str">
        <x:v>라바날 델 까미노 → 베가 데 발까르세</x:v>
      </x:c>
      <x:c r="C14" s="99" t="n">
        <x:v>75.5</x:v>
      </x:c>
      <x:c r="D14" s="102" t="e">
        <x:f>HYPERLINK("https://www.google.com/maps/dir/?api=1&amp;origin=Rabanal%20del%20Camino%2C%20Spain&amp;destination=Vega%20de%20Valcarce%2C%20Spain&amp;travelmode=bicycling&amp;waypoints=Molinaseca%2C%20Spain|Ponferrada%2C%20Spain|Cacabelos%2C%20Spain","Google Maps 열기")</x:f>
      </x:c>
      <x:c r="E14" s="93" t="str"/>
    </x:row>
    <x:row r="15">
      <x:c r="A15" s="96" t="n">
        <x:v>11</x:v>
      </x:c>
      <x:c r="B15" s="93" t="str">
        <x:v>베가 데 발까르세 → 사리아</x:v>
      </x:c>
      <x:c r="C15" s="99" t="n">
        <x:v>60</x:v>
      </x:c>
      <x:c r="D15" s="102" t="e">
        <x:f>HYPERLINK("https://www.google.com/maps/dir/?api=1&amp;origin=Vega%20de%20Valcarce%2C%20Spain&amp;destination=Sarria%2C%20Spain&amp;travelmode=bicycling&amp;waypoints=O%20Cebreiro%2C%20Spain|Triacastela%2C%20Spain","Google Maps 열기")</x:f>
      </x:c>
      <x:c r="E15" s="93" t="str"/>
    </x:row>
    <x:row r="16">
      <x:c r="A16" s="96" t="n">
        <x:v>12</x:v>
      </x:c>
      <x:c r="B16" s="93" t="str">
        <x:v>사리아 → 아르수아</x:v>
      </x:c>
      <x:c r="C16" s="99" t="n">
        <x:v>76.5</x:v>
      </x:c>
      <x:c r="D16" s="102" t="e">
        <x:f>HYPERLINK("https://www.google.com/maps/dir/?api=1&amp;origin=Sarria%2C%20Spain&amp;destination=Arz%C3%BAa%2C%20Spain&amp;travelmode=bicycling&amp;waypoints=Portomar%C3%ADn%2C%20Spain|Palas%20de%20Rei%2C%20Spain|Melide%2C%20Spain","Google Maps 열기")</x:f>
      </x:c>
      <x:c r="E16" s="93" t="str"/>
    </x:row>
    <x:row r="17">
      <x:c r="A17" s="96" t="n">
        <x:v>13</x:v>
      </x:c>
      <x:c r="B17" s="93" t="str">
        <x:v>아르수아 → 산티아고 대성당</x:v>
      </x:c>
      <x:c r="C17" s="99" t="n">
        <x:v>40</x:v>
      </x:c>
      <x:c r="D17" s="102" t="e">
        <x:f>HYPERLINK("https://www.google.com/maps/dir/?api=1&amp;origin=Arz%C3%BAa%2C%20Spain&amp;destination=Santiago%20de%20Compostela%2C%20Spain&amp;travelmode=bicycling&amp;waypoints=O%20Pedrouzo%2C%20Spain","Google Maps 열기")</x:f>
      </x:c>
      <x:c r="E17" s="93" t="str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53bf53cac4c64220"/>
  </x:tableParts>
</x:worksheet>
</file>